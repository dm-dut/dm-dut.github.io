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960" windowHeight="12840"/>
  </bookViews>
  <sheets>
    <sheet name="News" sheetId="1" r:id="rId1"/>
    <sheet name="Awards" sheetId="2" r:id="rId2"/>
    <sheet name="Grants" sheetId="3" r:id="rId3"/>
    <sheet name="Services" sheetId="4" r:id="rId4"/>
    <sheet name="Group" sheetId="5" r:id="rId5"/>
    <sheet name="Projects" sheetId="6" r:id="rId6"/>
    <sheet name="READM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<sst xmlns="http://schemas.openxmlformats.org/spreadsheetml/2006/main" count="1329" uniqueCount="601">
  <si>
    <t>date</t>
  </si>
  <si>
    <t>category</t>
  </si>
  <si>
    <t>content</t>
  </si>
  <si>
    <t>link</t>
  </si>
  <si>
    <t>show_on_home</t>
  </si>
  <si>
    <t>link_text</t>
  </si>
  <si>
    <t>links_json</t>
  </si>
  <si>
    <t>Talk</t>
  </si>
  <si>
    <t>I was invited to deliver a talk entitled "An Optimization-Driven Framework for Persuader Selection in Social Networks with Opinion Evolution" at Hebei University (HBU).</t>
  </si>
  <si>
    <t>http://dm-dut.github.io/images/hbu.jpg</t>
  </si>
  <si>
    <t>I was invited to deliver a talk entitled "An Optimization-Driven Framework for Persuader Selection in Social Networks with Opinion Evolution" at Nanjing University of Information Science and Technology (NUIST).</t>
  </si>
  <si>
    <t>https://smse.nuist.edu.cn/info/1081/7426.htm</t>
  </si>
  <si>
    <t>Award</t>
  </si>
  <si>
    <t>I was awarded the Springer Nature Editor of Distinction Award 2026 — Author Service Award.</t>
  </si>
  <si>
    <t>2026-04-18</t>
  </si>
  <si>
    <t>Publication</t>
  </si>
  <si>
    <t>Our paper titled "Targeting the right person: an optimization-driven framework for persuader selection in social networks with opinion evolution" was accepted by European Journal of Operational Research (SCI, EI, 2024 IF=6.0, ABS 4, FMS A).</t>
  </si>
  <si>
    <t>https://doi.org/10.1016/j.ejor.2026.04.023</t>
  </si>
  <si>
    <t>↗</t>
  </si>
  <si>
    <t>["https://doi.org/10.1016/j.ejor.2026.04.023"]</t>
  </si>
  <si>
    <t>2026-02-26</t>
  </si>
  <si>
    <t>Our paper titled "Identification and management of non-cooperative behaviors in large-scale group decision-making: Review, taxonomy and challenges from an LLM perspective" was accepted by Expert Systems with Applications (SCI, EI, 2024 IF=7.5).</t>
  </si>
  <si>
    <t>https://doi.org/10.1016/j.eswa.2026.131876</t>
  </si>
  <si>
    <t>["https://doi.org/10.1016/j.eswa.2026.131876"]</t>
  </si>
  <si>
    <t>2026-02-14</t>
  </si>
  <si>
    <t>Service</t>
  </si>
  <si>
    <t>I was invited to join in the editorial board of Systems (SSCI, IF: 3.1) as an editorial board member.</t>
  </si>
  <si>
    <t>https://www.mdpi.com/journal/systems/editors?search=zhen+zhang</t>
  </si>
  <si>
    <t>["https://www.mdpi.com/journal/systems"]</t>
  </si>
  <si>
    <t>2026-01-23</t>
  </si>
  <si>
    <t>Our paper titled "KRAM: Knowledge-driven robust training against label noise for medication recommendation" was accepted by Expert Systems with Applications (SCI, EI, 2024 IF=7.5).</t>
  </si>
  <si>
    <t>https://doi.org/10.1016/j.eswa.2026.131330</t>
  </si>
  <si>
    <t>["https://doi.org/10.1016/j.eswa.2026.131330"]</t>
  </si>
  <si>
    <t>2026-01-01</t>
  </si>
  <si>
    <t>Call for Papers</t>
  </si>
  <si>
    <t>Call For Papers &amp; Abstracts for the Special Session: Artificial Intelligence for Optimization and Decision Making in FLINS-ISKE 2026, July 15-19, 2026, Sydney, Australia.</t>
  </si>
  <si>
    <t>https://2026.flins.cc; https://mp.weixin.qq.com/s/GUZPlg6vh_RwemYuF6XweQ</t>
  </si>
  <si>
    <t>["https://2026.flins.cc/"]</t>
  </si>
  <si>
    <t>2025-12-25</t>
  </si>
  <si>
    <t>Call For Papers &amp; Abstracts for the Stream: Intelligent Group Decision Making and Consensus Process in GDN 2026, Katowice, Poland, June 28 – July 1, 2026.</t>
  </si>
  <si>
    <t>http://gdnconference.org/gdn2026/streams/?sessionid=-391327434; https://mp.weixin.qq.com/s/w84ZGOoEh2Ok39vvi-dpjQ</t>
  </si>
  <si>
    <t>["https://gdnconference.org/"]</t>
  </si>
  <si>
    <t>2025-12-15</t>
  </si>
  <si>
    <t>I was invited to deliver a talk entitled "An Incremental Preference Elicitation-Based Approach to Learning Potentially Non-Monotonic Preferences in Multi-Criteria Sorting" at South China Normal University.</t>
  </si>
  <si>
    <t>https://em.scnu.edu.cn/a/20251215/10970.html</t>
  </si>
  <si>
    <t>["https://em.scnu.edu.cn/a/20251215/10970.html"]</t>
  </si>
  <si>
    <t>I was invited to deliver a talk entitled "Data-Driven Preference Learning for Multi-Criteria Sorting Considering Criteria Interactions" at Guangzhou University.</t>
  </si>
  <si>
    <t>https://bas.gzhu.edu.cn/info/1129/8564.htm</t>
  </si>
  <si>
    <t>["https://bas.gzhu.edu.cn/info/1129/8564.htm"]</t>
  </si>
  <si>
    <t>2025-12-14</t>
  </si>
  <si>
    <t>I was invited to deliver a talk entitled "Data-Driven Preference Learning for Multi-Criteria Sorting Considering Criteria Interactions" at Shantou University.</t>
  </si>
  <si>
    <t>https://mp.weixin.qq.com/s/A1uUGGaqqp9XP88res0Y5A</t>
  </si>
  <si>
    <t>["https://mp.weixin.qq.com/s/A1uUGGaqqp9XP88res0Y5A"]</t>
  </si>
  <si>
    <t>2025-12-13</t>
  </si>
  <si>
    <t>I was invited to deliver a talk entitled "Multi-Granularity Granular-Ball Clustering with Its Applications in Low-Altitude Economy" at the First Forum on Low-Altitude Economy and Management, hosted by Shandong University, Weihai.</t>
  </si>
  <si>
    <t>https://shxy.wh.sdu.edu.cn/info/1006/26883.htm</t>
  </si>
  <si>
    <t>["https://shxy.wh.sdu.edu.cn/info/1006/26883.htm"]</t>
  </si>
  <si>
    <t>2025-12-07</t>
  </si>
  <si>
    <t>I was invited to deliver a talk entitled "An Optimization-Driven Framework for Persuader Selection in Social Networks with Opinion Evolution" at University of Shanghai for Science and Technology (USST).</t>
  </si>
  <si>
    <t/>
  </si>
  <si>
    <t>2025-12-06</t>
  </si>
  <si>
    <t>I was invited to deliver a talk entitled "An Incremental Preference Elicitation-Based Approach to Learning Potentially Non-Monotonic Preferences in Multi-Criteria Sorting" at the 2nd Symposium on Digital Decision-Making, hosted by Shanghai University.</t>
  </si>
  <si>
    <t>https://mp.weixin.qq.com/s/R4Ugr5Srivu8rRrIzh5fug</t>
  </si>
  <si>
    <t>["https://mp.weixin.qq.com/s/R4Ugr5Srivu8rRrIzh5fug"]</t>
  </si>
  <si>
    <t>2025-11-21</t>
  </si>
  <si>
    <t>Our paper titled "Integrating machine learning models to learn potentially non-monotonic preferences for multi-criteria sorting from large-scale assignment examples" has been selected as one of the recipients of the 2025 Best Paper Award.</t>
  </si>
  <si>
    <t>https://doi.org/10.1016/j.omega.2024.103219</t>
  </si>
  <si>
    <t>["https://doi.org/10.1016/j.omega.2024.103219", "https://mp.weixin.qq.com/s/Liq8EAxapEYQYNvHwTHHiA"]</t>
  </si>
  <si>
    <t>2025-11-13</t>
  </si>
  <si>
    <t>Group</t>
  </si>
  <si>
    <t>Congratulations to Zhuolin Li on successfully completing her Ph.D. thesis defense.</t>
  </si>
  <si>
    <t>https://mp.weixin.qq.com/s/GyFnl6HYnp43uVc8vZzroA</t>
  </si>
  <si>
    <t>["https://mp.weixin.qq.com/s/GyFnl6HYnp43uVc8vZzroA"]</t>
  </si>
  <si>
    <t>2025-11-10</t>
  </si>
  <si>
    <t>I was invited to deliver a talk entitled "Data-Driven Preference Learning for Multi-Criteria Sorting Considering Criteria Interactions" at Zhejiang Gongshang University.</t>
  </si>
  <si>
    <t>https://mp.weixin.qq.com/s/Hh7PnDXhOo5fzGd_rze09g</t>
  </si>
  <si>
    <t>["https://mp.weixin.qq.com/s/Hh7PnDXhOo5fzGd_rze09g"]</t>
  </si>
  <si>
    <t>I was invited to deliver a talk entitled "Non-Monotonic Preference Learning for Multi-Criteria Sorting" at the Second Forum on Intelligent Management, hosted by Shanghai University of Finance and Economics Zhejiang College.</t>
  </si>
  <si>
    <t>https://mp.weixin.qq.com/s/18rIJnSriWPEOhUmGIad4g</t>
  </si>
  <si>
    <t>["https://mp.weixin.qq.com/s/18rIJnSriWPEOhUmGIad4g"]</t>
  </si>
  <si>
    <t>2025-11-07</t>
  </si>
  <si>
    <t>I was invited to deliver a talk entitled "An Optimization-Driven Framework for Persuader Selection in Social Networks with Opinion Evolution" at Shanghai Maritime University.</t>
  </si>
  <si>
    <t>https://sem.shmtu.edu.cn/2025/1030/c7485a281201/page.htm</t>
  </si>
  <si>
    <t>["https://sem.shmtu.edu.cn/2025/1030/c7485a281201/page.htm"]</t>
  </si>
  <si>
    <t>2025-11-01</t>
  </si>
  <si>
    <t>I was invited to deliver a talk entitled "Data-Driven Preference Learning for Multi-Criteria Sorting Considering Criteria Interactions" at the Forum on Game Theory and Intelligent Decision Making, hosted by Northwestern Polytechnical University.</t>
  </si>
  <si>
    <t>https://mp.weixin.qq.com/s/Vt4Wy0A7quXG9JPOOVX1dQ</t>
  </si>
  <si>
    <t>["https://mp.weixin.qq.com/s/Vt4Wy0A7quXG9JPOOVX1dQ"]</t>
  </si>
  <si>
    <t>2025-10-31</t>
  </si>
  <si>
    <t>I was invited to deliver a talk entitled "Data-Driven Preference Learning for Multi-Criteria Sorting Considering Criteria Interactions" at Xidian University.</t>
  </si>
  <si>
    <t>I was invited to deliver a talk entitled "Data-Driven Preference Learning for Multi-Criteria Sorting Considering Criteria Interactions" at Xi'an University of Technology.</t>
  </si>
  <si>
    <t>https://sba.xaut.edu.cn/info/1142/7123.htm</t>
  </si>
  <si>
    <t>["https://sba.xaut.edu.cn/info/1142/7123.htm"]</t>
  </si>
  <si>
    <t>2025-08-28</t>
  </si>
  <si>
    <t>A new paper was accepted by Annals of Operations Research (SCI, IF: 4.5).</t>
  </si>
  <si>
    <t>https://doi.org/10.1007/s10479-025-06832-0</t>
  </si>
  <si>
    <t>["https://doi.org/10.1007/s10479-025-06832-0"]</t>
  </si>
  <si>
    <t>2025-08-17</t>
  </si>
  <si>
    <t>I was invited to deliver a talk entitled "Data-Driven Preference Learning for Multi-Criteria Sorting Considering Criteria Interactions" at the 27th Chinese Conference on Management Sciences, Harbin.</t>
  </si>
  <si>
    <t>2025-08-10</t>
  </si>
  <si>
    <t>A new paper was accepted by IEEE Transactions on Systems, Man, and Cybernetics: Systems (SCI, IF: 8.7).</t>
  </si>
  <si>
    <t>https://doi.org/10.1109/TSMC.2025.3597963</t>
  </si>
  <si>
    <t>["https://doi.org/10.1109/TSMC.2025.3597963"]</t>
  </si>
  <si>
    <t>2025-08-01</t>
  </si>
  <si>
    <t>A new paper was accepted by Chinese Journal of Management Science (FMS T1).</t>
  </si>
  <si>
    <t>https://link.cnki.net/doi/10.16381/j.cnki.issn1003-207x.2024.1896</t>
  </si>
  <si>
    <t>["https://link.cnki.net/doi/10.16381/j.cnki.issn1003-207x.2024.1896"]</t>
  </si>
  <si>
    <t>2025-07-08</t>
  </si>
  <si>
    <t>I will serve as an editor for the newly launched book series by Springer Nature, entitled "Artificial Intelligence and Decision Making."</t>
  </si>
  <si>
    <t>2025-06-17</t>
  </si>
  <si>
    <t>A new paper was accepted by Information Fusion (SCI, IF: 14.8).</t>
  </si>
  <si>
    <t>https://doi.org/10.1016/j.inffus.2025.103443</t>
  </si>
  <si>
    <t>["https://doi.org/10.1016/j.inffus.2025.103443"]</t>
  </si>
  <si>
    <t>2025-05-29</t>
  </si>
  <si>
    <t>I was awarded the Springer Nature Editor of Distinction Award 2025 — Author Service Award.</t>
  </si>
  <si>
    <t>https://mp.weixin.qq.com/s/jxDvUlkNr-VsZ7J5sA4k5g</t>
  </si>
  <si>
    <t>["https://mp.weixin.qq.com/s/jxDvUlkNr-VsZ7J5sA4k5g"]</t>
  </si>
  <si>
    <t>2025-05-10</t>
  </si>
  <si>
    <t>I was invited to deliver a talk entitled "An Incremental Preference Elicitation-Based Approach to Learning Potentially Non-Monotonic Preferences in Multi-Criteria Sorting" at the Sixth Annual Conference of Intelligent Decision Making and Game Branch, CSOOPEM, Hefei.</t>
  </si>
  <si>
    <t>2025-05-09</t>
  </si>
  <si>
    <t>I was invited to deliver a talk entitled "Modeling Personalized Individual Semantics in Multi-Criteria Decision Making" at Nanjing University of Information Science and Technology.</t>
  </si>
  <si>
    <t>https://smse.nuist.edu.cn/info/1081/6992.htm</t>
  </si>
  <si>
    <t>["https://smse.nuist.edu.cn/info/1081/6992.htm"]</t>
  </si>
  <si>
    <t>2025-04-18</t>
  </si>
  <si>
    <t>A new paper was accepted by Information Sciences (SCI, IF: 8.1).</t>
  </si>
  <si>
    <t>https://doi.org/10.1016/j.ins.2025.122222</t>
  </si>
  <si>
    <t>["https://doi.org/10.1016/j.ins.2025.122222"]</t>
  </si>
  <si>
    <t>2025-03-10</t>
  </si>
  <si>
    <t>https://doi.org/10.1016/j.inffus.2025.103107</t>
  </si>
  <si>
    <t>["https://doi.org/10.1016/j.inffus.2025.103107"]</t>
  </si>
  <si>
    <t>2025-01-23</t>
  </si>
  <si>
    <t>A new paper was accepted by IEEE Transactions on Cybernetics (SCI, IF: 9.4, ABS 3).</t>
  </si>
  <si>
    <t>https://doi.org/10.1109/TCYB.2025.3534195</t>
  </si>
  <si>
    <t>["https://doi.org/10.1109/TCYB.2025.3534195"]</t>
  </si>
  <si>
    <t>2024-12-30</t>
  </si>
  <si>
    <t>https://doi.org/10.1016/j.inffus.2024.102926</t>
  </si>
  <si>
    <t>["https://doi.org/10.1016/j.inffus.2024.102926"]</t>
  </si>
  <si>
    <t>2024-11-28</t>
  </si>
  <si>
    <t>A new paper was accepted by European Journal of Operational Research (SCI, IF: 6.0, ABS 4).</t>
  </si>
  <si>
    <t>https://doi.org/10.1016/j.ejor.2024.11.047</t>
  </si>
  <si>
    <t>["https://doi.org/10.1016/j.ejor.2024.11.047"]</t>
  </si>
  <si>
    <t>2024-11-16</t>
  </si>
  <si>
    <t>A new paper was accepted by Computers &amp; Operations Research (SCI, IF: 4.1).</t>
  </si>
  <si>
    <t>https://doi.org/10.1016/j.cor.2024.106917</t>
  </si>
  <si>
    <t>["https://doi.org/10.1016/j.cor.2024.106917"]</t>
  </si>
  <si>
    <t>2024-10-18</t>
  </si>
  <si>
    <t>A new paper was accepted by Omega: The International Journal of Management Science (SCI, IF: 6.7).</t>
  </si>
  <si>
    <t>["https://doi.org/10.1016/j.omega.2024.103219"]</t>
  </si>
  <si>
    <t>2024-09-30</t>
  </si>
  <si>
    <t>A new paper was accepted by IEEE Transactions on Systems, Man, and Cybernetics: Systems (SCI, IF: 8.6).</t>
  </si>
  <si>
    <t>https://doi.org/10.1109/TSMC.2024.3472699</t>
  </si>
  <si>
    <t>["https://doi.org/10.1109/TSMC.2024.3472699"]</t>
  </si>
  <si>
    <t>2024-09-24</t>
  </si>
  <si>
    <t>I will be a guest editor for the special issue "AI-supported Decision Making and Recommender Systems" on Applied Sciences Journal (SCI, IF: 2.5).</t>
  </si>
  <si>
    <t>https://www.mdpi.com/journal/applsci/special_issues/9FBJS45XR9</t>
  </si>
  <si>
    <t>["https://www.mdpi.com/journal/applsci/special_issues/9FBJS45XR9"]</t>
  </si>
  <si>
    <t>2024-09-01</t>
  </si>
  <si>
    <t>Grant</t>
  </si>
  <si>
    <t>A new project was granted by the Natural Science Foundation of Liaoning Province.</t>
  </si>
  <si>
    <t>2024-07-24</t>
  </si>
  <si>
    <t>I was invited to join in the editorial board of International Journal of Computational Intelligence Systems (SCI, IF: 2.5) as an Area Editor.</t>
  </si>
  <si>
    <t>https://link.springer.com/journal/44196/editors</t>
  </si>
  <si>
    <t>["https://link.springer.com/journal/44196/editors"]</t>
  </si>
  <si>
    <t>2024-04-29</t>
  </si>
  <si>
    <t>A monograph entitled "Modeling Complex Linguistic Information to Support Group Decision Making Under Uncertainty" will be published by Springer Nature.</t>
  </si>
  <si>
    <t>https://doi.org/10.1007/978-981-97-3584-6</t>
  </si>
  <si>
    <t>["https://doi.org/10.1007/978-981-97-3584-6"]</t>
  </si>
  <si>
    <t>2024-04-23</t>
  </si>
  <si>
    <t>A paper was accepted by Engineering Applications of Artificial Intelligence (2022 IF: 8).</t>
  </si>
  <si>
    <t>https://doi.org/10.1016/j.engappai.2024.108509</t>
  </si>
  <si>
    <t>["https://doi.org/10.1016/j.engappai.2024.108509"]</t>
  </si>
  <si>
    <t>2024-03-08</t>
  </si>
  <si>
    <t>A paper was accepted by IEEE Transactions on Fuzzy Systems (2022 IF: 11.9).</t>
  </si>
  <si>
    <t>https://doi.org/10.1109/TFUZZ.2024.3375863</t>
  </si>
  <si>
    <t>["https://doi.org/10.1109/TFUZZ.2024.3375863"]</t>
  </si>
  <si>
    <t>2024-01-24</t>
  </si>
  <si>
    <t>I joined in the editorial review board of IEEE Transactions on Engineering Management (ABS 3, FMS-A, SCI/SSCI, IF: 5.8).</t>
  </si>
  <si>
    <t>https://ieeexplore.ieee.org/stamp/stamp.jsp?arnumber=10356850&amp;tp=</t>
  </si>
  <si>
    <t>["https://ieeexplore.ieee.org/stamp/stamp.jsp?arnumber=10356850&amp;tp="]</t>
  </si>
  <si>
    <t>2023-12-19</t>
  </si>
  <si>
    <t>I was selected as an outstanding reviewer of Journal of the Operational Research Society for the second time.</t>
  </si>
  <si>
    <t>https://www.tandfonline.com/journals/tjor20</t>
  </si>
  <si>
    <t>["https://www.tandfonline.com/journals/tjor20"]</t>
  </si>
  <si>
    <t>2023-11-16</t>
  </si>
  <si>
    <t>I was invited to join in the editorial board of Group Decision &amp; Negotiation as an Associate Editor from 1 January 2024.</t>
  </si>
  <si>
    <t>https://link.springer.com/journal/10726/editorial-board</t>
  </si>
  <si>
    <t>["https://link.springer.com/journal/10726/editorial-board"]</t>
  </si>
  <si>
    <t>2023-10-11</t>
  </si>
  <si>
    <t>I was elevated to be a senior member of IEEE.</t>
  </si>
  <si>
    <t>2023-08-24</t>
  </si>
  <si>
    <t>A new research project was granted by the National Natural Science Foundation of China (NSFC).</t>
  </si>
  <si>
    <t>2023-07-10</t>
  </si>
  <si>
    <t>I was invited to join in the editorial board of Information Fusion Journal (2022 IF: 18.6).</t>
  </si>
  <si>
    <t>https://www.sciencedirect.com/journal/information-fusion/about/editorial-board</t>
  </si>
  <si>
    <t>["https://www.sciencedirect.com/journal/information-fusion/about/editorial-board"]</t>
  </si>
  <si>
    <t>2023-04-26</t>
  </si>
  <si>
    <t>A paper was accepted by Information Fusion (2022 IF: 18.6).</t>
  </si>
  <si>
    <t>https://doi.org/10.1016/j.inffus.2023.101825</t>
  </si>
  <si>
    <t>["https://doi.org/10.1016/j.inffus.2023.101825"]</t>
  </si>
  <si>
    <t>2023-02-26</t>
  </si>
  <si>
    <t>A paper was accepted by Journal of the Operational Research Society (2022 IF: 3.6).</t>
  </si>
  <si>
    <t>https://doi.org/10.1080/01605682.2023.2186806</t>
  </si>
  <si>
    <t>["https://doi.org/10.1080/01605682.2023.2186806"]</t>
  </si>
  <si>
    <t>2023-02-24</t>
  </si>
  <si>
    <t>A paper was accepted by IEEE Transactions on Computational Social Systems (2022 IF: 5).</t>
  </si>
  <si>
    <t>https://doi.org/10.1109/TCSS.2023.3251351</t>
  </si>
  <si>
    <t>["https://doi.org/10.1109/TCSS.2023.3251351"]</t>
  </si>
  <si>
    <t>2023-01-29</t>
  </si>
  <si>
    <t>A paper was accepted by Systems Journal (2022 IF: 1.9).</t>
  </si>
  <si>
    <t>https://www.mdpi.com/2079-8954/11/2/69</t>
  </si>
  <si>
    <t>["https://www.mdpi.com/2079-8954/11/2/69"]</t>
  </si>
  <si>
    <t>2023-01-23</t>
  </si>
  <si>
    <t>A paper was accepted by Applied Intelligence (2022 IF: 5.3).</t>
  </si>
  <si>
    <t>https://doi.org/10.1007/s10489-023-04485-9</t>
  </si>
  <si>
    <t>["https://doi.org/10.1007/s10489-023-04485-9"]</t>
  </si>
  <si>
    <t>2022-12-20</t>
  </si>
  <si>
    <t>I was selected as an outstanding reviewer for Journal of the Operational Research Society.</t>
  </si>
  <si>
    <t>2022-11-28</t>
  </si>
  <si>
    <t>I will organize a special issue entitled "Preference and Consensus Modeling in Group Decision Making under Complex Contexts" in Systems with Prof. Jian Wu, Prof. Hengjie Zhang and Dr. Wenyu Yu.</t>
  </si>
  <si>
    <t>https://www.mdpi.com/journal/systems/special_issues/ZN51HVWR9N</t>
  </si>
  <si>
    <t>["https://www.mdpi.com/journal/systems/special_issues/ZN51HVWR9N"]</t>
  </si>
  <si>
    <t>2022-11-11</t>
  </si>
  <si>
    <t>I will organize a special issue entitled "New Trends in Intelligent Group Decision Making and Consensus Modelling (IGDM-CM)" in Group Decision and Negotiation with Prof. Francisco Chiclana, Prof. Yucheng Dong, Prof. Enrique Herrera-Viedma and Dr. Congcong Li.</t>
  </si>
  <si>
    <t>2022-10-28</t>
  </si>
  <si>
    <t>I was invited to deliver a talk entitled "Managing personalized individual semantics and non-cooperative behaviors in social network group decision making" at the First Symposium on Complex Management Systems hosted by Tianjin University.</t>
  </si>
  <si>
    <t>2022-09-06</t>
  </si>
  <si>
    <t>A paper was accepted by Annals of Operations Research (SCI, 2022 IF: 4.8).</t>
  </si>
  <si>
    <t>https://link.springer.com/10.1007/s10479-022-04985-w</t>
  </si>
  <si>
    <t>["https://link.springer.com/10.1007/s10479-022-04985-w"]</t>
  </si>
  <si>
    <t>2022-08-24</t>
  </si>
  <si>
    <t>A paper was accepted by Group Decision and Negotiation (SSCI, 2022 IF: 3.0).</t>
  </si>
  <si>
    <t>https://link.springer.com/10.1007/s10726-022-09798-7</t>
  </si>
  <si>
    <t>["https://link.springer.com/10.1007/s10726-022-09798-7"]</t>
  </si>
  <si>
    <t>2022-04-21</t>
  </si>
  <si>
    <t>I was invited to deliver a talk entitled "Modeling consensus in linguistic group decision making: A personalized individual semantics-based perspective" at Anhui University.</t>
  </si>
  <si>
    <t>year</t>
  </si>
  <si>
    <t>title</t>
  </si>
  <si>
    <t>organization</t>
  </si>
  <si>
    <t>Springer Nature Editor of Distinction Award — Author Service Award</t>
  </si>
  <si>
    <t>Springer Nature</t>
  </si>
  <si>
    <t>2025</t>
  </si>
  <si>
    <t>2025 Best Paper Award of Omega Journal</t>
  </si>
  <si>
    <t>Omega Journal</t>
  </si>
  <si>
    <t>2024</t>
  </si>
  <si>
    <t>Xingliao Talent Program - Young Talents for Cultural Luminaries and the “Four Batches” Program</t>
  </si>
  <si>
    <t>Outstanding Reviewer</t>
  </si>
  <si>
    <t>Journal of Systems Science &amp; Complexity</t>
  </si>
  <si>
    <t>2023</t>
  </si>
  <si>
    <t>Senior Member</t>
  </si>
  <si>
    <t>IEEE</t>
  </si>
  <si>
    <t>2022-2024</t>
  </si>
  <si>
    <t>Journal of the Operational Research Society</t>
  </si>
  <si>
    <t>2020-2025</t>
  </si>
  <si>
    <t>World’s Top 2% Scientists</t>
  </si>
  <si>
    <t>Stanford University</t>
  </si>
  <si>
    <t>2021-2023</t>
  </si>
  <si>
    <t>Journal of Industrial Engineering and Engineering Management</t>
  </si>
  <si>
    <t>2020</t>
  </si>
  <si>
    <t>Xinghai Outstanding Young Talents</t>
  </si>
  <si>
    <t>Dalian University of Technology</t>
  </si>
  <si>
    <t>2019</t>
  </si>
  <si>
    <t>Publons Global Peer Review Awards, top 1% of reviewers in Computer Science and Cross-Field</t>
  </si>
  <si>
    <t>Clarivate Analytics / Publons</t>
  </si>
  <si>
    <t>Systems Engineering — Theory &amp; Practice</t>
  </si>
  <si>
    <t>no</t>
  </si>
  <si>
    <t>role</t>
  </si>
  <si>
    <t>funder</t>
  </si>
  <si>
    <t>grant_no</t>
  </si>
  <si>
    <t>amount</t>
  </si>
  <si>
    <t>period</t>
  </si>
  <si>
    <t>22</t>
  </si>
  <si>
    <t>PI</t>
  </si>
  <si>
    <t>Research on Consensual Sorting Models and Methods for Multi-Criteria Group Decision Making by Considering Personalized Individual Semantics</t>
  </si>
  <si>
    <t>National Natural Science Foundation of China</t>
  </si>
  <si>
    <t>72371049</t>
  </si>
  <si>
    <t>CNY390K</t>
  </si>
  <si>
    <t>2024.1 - 2027.12</t>
  </si>
  <si>
    <t>21</t>
  </si>
  <si>
    <t>Consensus-Oriented Models and Methods for Multi-Criteria Sorting Problems in Group Decision Making with Heterogeneous Information</t>
  </si>
  <si>
    <t>71971039</t>
  </si>
  <si>
    <t>CNY480K</t>
  </si>
  <si>
    <t>2020.1 - 2023.12</t>
  </si>
  <si>
    <t>20</t>
  </si>
  <si>
    <t>Research on Two-sided Matching Decision Making Methods with Incomplete Information</t>
  </si>
  <si>
    <t>71501023</t>
  </si>
  <si>
    <t>CNY182.8K</t>
  </si>
  <si>
    <t>2016.1 - 2018.12</t>
  </si>
  <si>
    <t>19</t>
  </si>
  <si>
    <t>Data-Driven Preference Learning Methods for Multi-Criteria Sorting with Non-Monotonic Preferences</t>
  </si>
  <si>
    <t>Natural Science Foundation of Liaoning Province</t>
  </si>
  <si>
    <t>2024-MSBA-26</t>
  </si>
  <si>
    <t>CNY80K</t>
  </si>
  <si>
    <t>2024.09 – 2026.08</t>
  </si>
  <si>
    <t>18</t>
  </si>
  <si>
    <t>Approaches to Two-sided Matching Decision Making with Incomplete Preference Information</t>
  </si>
  <si>
    <t>China Postdoctoral Science Foundation</t>
  </si>
  <si>
    <t>2015M570248</t>
  </si>
  <si>
    <t>2015.6 - 2017.6</t>
  </si>
  <si>
    <t>17</t>
  </si>
  <si>
    <t>Consensus-Driven Models and Algorithms for Group Recommender Systems under Big Data environment</t>
  </si>
  <si>
    <t>Dalian Science and Technology Bureau</t>
  </si>
  <si>
    <t>2018RQ69</t>
  </si>
  <si>
    <t>CNY100K</t>
  </si>
  <si>
    <t>2019.1 - 2020.12</t>
  </si>
  <si>
    <t>16</t>
  </si>
  <si>
    <t>Consensus-Based Models for Linguistic Group Decision Making and Multi-Criteria Sorting</t>
  </si>
  <si>
    <t>Funds for Xinghai Outstanding Young Talents in DUT</t>
  </si>
  <si>
    <t>X20190322</t>
  </si>
  <si>
    <t>CNY400K</t>
  </si>
  <si>
    <t>15</t>
  </si>
  <si>
    <t>Data-Driven Multi-Criteria Sorting Methods Considering Non-Monotonic Preferences of Decision Makers</t>
  </si>
  <si>
    <t>Fundamental Research Funds for the Central Universities of China</t>
  </si>
  <si>
    <t>DUT23RW406</t>
  </si>
  <si>
    <t>CNY50K</t>
  </si>
  <si>
    <t>2023.01 - 2024.12</t>
  </si>
  <si>
    <t>14</t>
  </si>
  <si>
    <t>Models and Methods for Linguistic Large-Scale Group Decision Making based on Social Network Trust</t>
  </si>
  <si>
    <t>DUT17RC(4)11</t>
  </si>
  <si>
    <t>2017.7 - 2018.12</t>
  </si>
  <si>
    <t>13</t>
  </si>
  <si>
    <t>Matching Decision Making Methods with Heterogeneous Criteria Sets for Matching Objects</t>
  </si>
  <si>
    <t>DUT15RC(3)003</t>
  </si>
  <si>
    <t>2015.1 - 2016.12</t>
  </si>
  <si>
    <t>12</t>
  </si>
  <si>
    <t>Group Decision Making with Uncertain Information</t>
  </si>
  <si>
    <t>Foundation for the Doctoral Student Academic Star of Dalian University of Technology</t>
  </si>
  <si>
    <t>CNY10K</t>
  </si>
  <si>
    <t>2012.11 - 2013.10</t>
  </si>
  <si>
    <t>11</t>
  </si>
  <si>
    <t>Co-PI</t>
  </si>
  <si>
    <t>Research on Methods and Applications for Social Network Group Decision Making With Self-Confident Preferences Considering Personalized Individual Semantics</t>
  </si>
  <si>
    <t>Funds for Humanities and Social Sciences of Ministry of Education of China</t>
  </si>
  <si>
    <t>23YJC630219</t>
  </si>
  <si>
    <t>2023.10 - 2026.7</t>
  </si>
  <si>
    <t>10</t>
  </si>
  <si>
    <t>Participant</t>
  </si>
  <si>
    <t>Electronic Medical Record Mining-based ICU Clinical Prediction Models in Smart Healthcare Scenarios</t>
  </si>
  <si>
    <t>Applied Basic Research Program of Liaoning Natural Science Foundation, China</t>
  </si>
  <si>
    <t>2023JH2/101300208</t>
  </si>
  <si>
    <t>CNY300K</t>
  </si>
  <si>
    <t>2023.1 - 2024.12</t>
  </si>
  <si>
    <t>09</t>
  </si>
  <si>
    <t>Big-Data Driven Intelligent Decision Making Methods and Support Techniques for Smart City Construction in Dalian</t>
  </si>
  <si>
    <t>2018J11CY009</t>
  </si>
  <si>
    <t>CNY3M</t>
  </si>
  <si>
    <t>2018.1 - 2020.12</t>
  </si>
  <si>
    <t>08</t>
  </si>
  <si>
    <t>Clustering Models and Algorithms for Mining Electronic Medical Records</t>
  </si>
  <si>
    <t>71771034</t>
  </si>
  <si>
    <t>CNY560K</t>
  </si>
  <si>
    <t>2018.1 - 2021.12</t>
  </si>
  <si>
    <t>07</t>
  </si>
  <si>
    <t>Evolutionary Clustering Models and Algorithms for Dynamic Data Mining</t>
  </si>
  <si>
    <t>71171030</t>
  </si>
  <si>
    <t>CNY450K</t>
  </si>
  <si>
    <t>2012.1 - 2015.12</t>
  </si>
  <si>
    <t>06</t>
  </si>
  <si>
    <t>Data Mining and Knowledge Discovery Based on Optimization and Multivariate Statistical Analysis: Methods and Applications</t>
  </si>
  <si>
    <t>Program for New Century Excellent Talents in University</t>
  </si>
  <si>
    <t>NECT-11-0050</t>
  </si>
  <si>
    <t>2012.1 - 2014.12</t>
  </si>
  <si>
    <t>05</t>
  </si>
  <si>
    <t>Clustering Models and Algorithms for Time Series Data Mining</t>
  </si>
  <si>
    <t>70871015</t>
  </si>
  <si>
    <t>CNY230K</t>
  </si>
  <si>
    <t>2009.1 - 2011.12</t>
  </si>
  <si>
    <t>04</t>
  </si>
  <si>
    <t>Information and Logistics Management in Emerging E-commerce</t>
  </si>
  <si>
    <t>Funds for Creative Research Groups of China</t>
  </si>
  <si>
    <t>71421001</t>
  </si>
  <si>
    <t>CNY8.4M</t>
  </si>
  <si>
    <t>2015.1 - 2020.12</t>
  </si>
  <si>
    <t>03</t>
  </si>
  <si>
    <t>Feature Representation and Similarity Measures for Time Series</t>
  </si>
  <si>
    <t>DUT11SX04</t>
  </si>
  <si>
    <t>2011.1 - 2012.12</t>
  </si>
  <si>
    <t>02</t>
  </si>
  <si>
    <t>Theory and Methods of Product Life Cycle-Oriented Knowledge Coordination Management</t>
  </si>
  <si>
    <t>Key program of National Natural Science Foundation of China</t>
  </si>
  <si>
    <t>71031002</t>
  </si>
  <si>
    <t>CNY1.5M</t>
  </si>
  <si>
    <t>2011.1 - 2014.12</t>
  </si>
  <si>
    <t>01</t>
  </si>
  <si>
    <t>Enterprise Knowledge Management Methods and Enterprise Ontology</t>
  </si>
  <si>
    <t>National High Technology Research and Development Program</t>
  </si>
  <si>
    <t>2008AA04Z107</t>
  </si>
  <si>
    <t>CNY710K</t>
  </si>
  <si>
    <t>2008.10 - 2010.12</t>
  </si>
  <si>
    <t>item</t>
  </si>
  <si>
    <t>Editorial Boards</t>
  </si>
  <si>
    <t>Editor</t>
  </si>
  <si>
    <t>Artificial Intelligence and Decision Making book series (Springer Nature)</t>
  </si>
  <si>
    <t>since Jul. 2025</t>
  </si>
  <si>
    <t>Associate Editor</t>
  </si>
  <si>
    <t>Information Fusion (SCI)</t>
  </si>
  <si>
    <t>since May 2026; Editorial Board Member, Jul. 2023 - May 2026</t>
  </si>
  <si>
    <t>Group Decision and Negotiation (ABS 2, FMS-B, SSCI)</t>
  </si>
  <si>
    <t>since Jan. 2024</t>
  </si>
  <si>
    <t>Senior Editor</t>
  </si>
  <si>
    <t>International Journal of Computational Intelligence Systems (SCI)</t>
  </si>
  <si>
    <t>since Feb. 2026; Area editor, Jul. 2024 - Feb. 2026; Editorial Board Member, Nov. 2019 - Jul. 2024</t>
  </si>
  <si>
    <t>Journal of Ambient Intelligence and Humanized Computing</t>
  </si>
  <si>
    <t>since Jul. 2022</t>
  </si>
  <si>
    <t>Editorial Review Board Member</t>
  </si>
  <si>
    <t>IEEE Transactions on Engineering Management (ABS 3, FMS-A, SCI/SSCI)</t>
  </si>
  <si>
    <t>Editorial Advisory Board Member</t>
  </si>
  <si>
    <t>Kybernetes (SCI)</t>
  </si>
  <si>
    <t>since Apr. 2025; Associate Editor, Jan. 2019 - Apr. 2025</t>
  </si>
  <si>
    <t>Academic Editor</t>
  </si>
  <si>
    <t>Complexity (SCI)</t>
  </si>
  <si>
    <t>since Jan. 2021</t>
  </si>
  <si>
    <t>Youth Editorial Board Member</t>
  </si>
  <si>
    <t>CAAI Transactions on Intelligence Technology (SCI)</t>
  </si>
  <si>
    <t>Guest Editor</t>
  </si>
  <si>
    <t>Nov. 2022-Mar. 2024</t>
  </si>
  <si>
    <t>Systems (SSCI)</t>
  </si>
  <si>
    <t>Nov. 2022-Dec. 2023; May 2024-Dec. 2024</t>
  </si>
  <si>
    <t>Applied Sciences (SCI, IF: 2.5)</t>
  </si>
  <si>
    <t>Sep. 2024-Sep. 2025</t>
  </si>
  <si>
    <t>Frontiers in Artificial Intelligence (Logic and Reasoning in AI Section, ESCI)</t>
  </si>
  <si>
    <t>since Jan. 2020</t>
  </si>
  <si>
    <t>Frontiers in Applied Mathematics and Statistics (Optimization Section, ESCI)</t>
  </si>
  <si>
    <t>since May 2020</t>
  </si>
  <si>
    <t>Frontiers in Big Data (ESCI)</t>
  </si>
  <si>
    <t>since May 2023</t>
  </si>
  <si>
    <t>Editorial Board Member</t>
  </si>
  <si>
    <t>since Feb. 2026; Topical Advisory Panel Member, Aug. 2021 - Feb. 2026; Topics Board Editor, Mar. 2021-Aug. 2021</t>
  </si>
  <si>
    <t>Topical Advisory Panel Member</t>
  </si>
  <si>
    <t>Mathematics (SCI)</t>
  </si>
  <si>
    <t>since June 2022</t>
  </si>
  <si>
    <t>Information (ESCI)</t>
  </si>
  <si>
    <t>since May 2022</t>
  </si>
  <si>
    <t>Review Editor</t>
  </si>
  <si>
    <t>Jan. 2019-May 2023</t>
  </si>
  <si>
    <t>Data &amp; Metadata</t>
  </si>
  <si>
    <t>since Apr. 2023</t>
  </si>
  <si>
    <t>ICSES Transactions on Neural and Fuzzy Computing</t>
  </si>
  <si>
    <t>since April 2019</t>
  </si>
  <si>
    <t>Secretary</t>
  </si>
  <si>
    <t>Big Data and Knowledge Management Branch Editorial Board, Management Science and Engineering Volume, Encyclopedia of China (The 3rd edition)</t>
  </si>
  <si>
    <t>Professional Memberships</t>
  </si>
  <si>
    <t>Senior Member, Institute of Electrical and Electronics Engineers (IEEE)</t>
  </si>
  <si>
    <t>Member, IEEE Computational Intelligence Society</t>
  </si>
  <si>
    <t>Member, IEEE Systems, Man, and Cybernetics Society</t>
  </si>
  <si>
    <t>Member, European Society for Fuzzy Logic and Technology (EUSFLAT)</t>
  </si>
  <si>
    <t>Member, Systems Engineering Society of China (SESC)</t>
  </si>
  <si>
    <t>Member, Operations Research Society of China (ORSC)</t>
  </si>
  <si>
    <t>Member, China Computer Federation (CCF)</t>
  </si>
  <si>
    <t>Member, Chinese Association of Automation of China (CAA)</t>
  </si>
  <si>
    <t>Member, Chinese Society of Optimization, Overall Planning and Economic Mathematics (CSOOPEM)</t>
  </si>
  <si>
    <t>Member, Chinese Association for Artificial Intelligence (CAAI)</t>
  </si>
  <si>
    <t>Committee member and Vice secretary-general, Data Science and Knowledge Systems Engineering Branch, SESC</t>
  </si>
  <si>
    <t>Committee member, the Youth Working Committee, CSOOPEM</t>
  </si>
  <si>
    <t>Executive board member, Intelligent Decision Making and Game Branch, CSOOPEM</t>
  </si>
  <si>
    <t>Board member, Uncertain Systems, ORSC</t>
  </si>
  <si>
    <t>Vice secretary-general, Business Intelligence Professional Committee of the Chinese Society for Management Modernization (CSMM)</t>
  </si>
  <si>
    <t>Selected Journal Reviewers</t>
  </si>
  <si>
    <t>Annals of Operations Research (SCI)</t>
  </si>
  <si>
    <t>Applied Soft Computing (SCI)</t>
  </si>
  <si>
    <t>Asia-Pacific Journal of Operational Research (SCI)</t>
  </si>
  <si>
    <t>Computers &amp; Industrial Engineering (SCI)</t>
  </si>
  <si>
    <t>Computers &amp; Operations Research (SCI)</t>
  </si>
  <si>
    <t>Decision Sciences (SSCI)</t>
  </si>
  <si>
    <t>Engineering Applications of Artificial Intelligence (SCI)</t>
  </si>
  <si>
    <t>European Journal of Operational Research (SCI)</t>
  </si>
  <si>
    <t>Expert Systems with Applications (SCI)</t>
  </si>
  <si>
    <t>Financial Innovation (SSCI)</t>
  </si>
  <si>
    <t>Fuzzy Optimization and Decision Making (SCI)</t>
  </si>
  <si>
    <t>Fuzzy Sets and Systems (SCI)</t>
  </si>
  <si>
    <t>Group Decision and Negotiation (SSCI)</t>
  </si>
  <si>
    <t>IEEE/CAA Journal of Automatica Sinica (SCI)</t>
  </si>
  <si>
    <t>IEEE Transactions on Artificial Intelligence (SCI)</t>
  </si>
  <si>
    <t>IEEE Transactions on Computational Social Systems (SCI)</t>
  </si>
  <si>
    <t>IEEE Transactions on Consumer Electronics (SCI)</t>
  </si>
  <si>
    <t>IEEE Transactions on Cybernetics (SCI)</t>
  </si>
  <si>
    <t>IEEE Transactions on Emerging Topics in Computational Intelligence (SCI)</t>
  </si>
  <si>
    <t>IEEE Transactions on Engineering Management (SCI/SSCI)</t>
  </si>
  <si>
    <t>IEEE Transactions on Fuzzy Systems (SCI)</t>
  </si>
  <si>
    <t>IEEE Transactions on Industrial Informatics (SCI)</t>
  </si>
  <si>
    <t>IEEE Transactions on Intelligent Transportation Systems (SCI)</t>
  </si>
  <si>
    <t>IEEE Transactions on Knowledge and Data Engineering (SCI)</t>
  </si>
  <si>
    <t>IEEE Transactions on Network Science and Engineering (SCI)</t>
  </si>
  <si>
    <t>IEEE Transactions on Neural Networks and Learning Systems (SCI)</t>
  </si>
  <si>
    <t>IEEE Transactions on Reliability (SCI)</t>
  </si>
  <si>
    <t>IEEE Transactions on Services Computing (SCI)</t>
  </si>
  <si>
    <t>IEEE Transactions on Systems, Man, and Cybernetics: Systems (SCI)</t>
  </si>
  <si>
    <t>IISE Transactions (SCI)</t>
  </si>
  <si>
    <t>Information Processing and Management (SCI)</t>
  </si>
  <si>
    <t>Information Sciences (SCI)</t>
  </si>
  <si>
    <t>Information Systems Frontiers (SCI)</t>
  </si>
  <si>
    <t>International Journal of Hospitality Management (SSCI)</t>
  </si>
  <si>
    <t>International Journal of Information Technology &amp; Decision Making (SCI)</t>
  </si>
  <si>
    <t>International Journal of Production Research (SCI)</t>
  </si>
  <si>
    <t>International Transactions in Operational Research (SCI/SSCI)</t>
  </si>
  <si>
    <t>Journal of Forecasting (SSCI)</t>
  </si>
  <si>
    <t>Journal of Management Analytics (SSCI)</t>
  </si>
  <si>
    <t>Journal of the Operational Research Society (SCI/SSCI)</t>
  </si>
  <si>
    <t>Knowledge–Based Systems (SCI)</t>
  </si>
  <si>
    <t>Neurocomputing (SCI)</t>
  </si>
  <si>
    <t>Omega (SCI/SSCI)</t>
  </si>
  <si>
    <t>Risk Analysis (SCI/SSCI)</t>
  </si>
  <si>
    <t>Socio-Economic Planning Sciences (SSCI)</t>
  </si>
  <si>
    <t>Chinese Journal of Management Science (Chinese Journal)</t>
  </si>
  <si>
    <t>Chinese Journal of Management (Chinese Journal)</t>
  </si>
  <si>
    <t>Control and Decision (Chinese Journal)</t>
  </si>
  <si>
    <t>Systems Engineering (Chinese Journal)</t>
  </si>
  <si>
    <t>Systems Engineering - Theory &amp; Practice (Chinese Journal)</t>
  </si>
  <si>
    <t>Journal of Industrial Engineering and Engineering Management (Chinese Journal)</t>
  </si>
  <si>
    <t>Nankai Business Review (Chinese Journal)</t>
  </si>
  <si>
    <t>Operations Research and Management Science (Chinese Journal)</t>
  </si>
  <si>
    <t>PC Members &amp; Conference Reviewers</t>
  </si>
  <si>
    <t>The IEEE Conference on Artificial Intelligence (IEEE CAI 2024)</t>
  </si>
  <si>
    <t>The International Conference on Distributed Computing and Artificial Intelligence (DCAI, 2020-2024, 2026)</t>
  </si>
  <si>
    <t>The IEEE International Conference on Fuzzy Systems (FUZZ-IEEE, 2017, 2019, 2021-2023)</t>
  </si>
  <si>
    <t>The International Conference on Group Decision and Negotiation (GDN, 2018, 2020-2023, 2025, 2026)</t>
  </si>
  <si>
    <t>The International Symposium on Knowledge and Systems Sciences (KSS, 2015-2019, 2024-2025)</t>
  </si>
  <si>
    <t>The International Conference on Intelligent Systems and Knowledge Engineering (ISKE, 2013, 2017, 2019)</t>
  </si>
  <si>
    <t>The IEEE World Congress on Computational Intelligence (WCCI, 2016, 2018, 2020)</t>
  </si>
  <si>
    <t>The IEEE International Conference on Systems, Man, and Cybernetics (SMC 2018, 2025)</t>
  </si>
  <si>
    <t>The 15th International FLINS Conference on Machine learning, Multi agent and Cyber physical systems (FLINS 2022)</t>
  </si>
  <si>
    <t>The 14th International FLINS Conference on Robotics and Artificial Intelligence (FLINS 2020)</t>
  </si>
  <si>
    <t>The 13th International FLINS Conference on Data Science and Knowledge Engineering for Sensing Decision Support (FLINS 2018)</t>
  </si>
  <si>
    <t>The 12th International FLINS Conference on Decision Making and Soft Computing (FLINS 2016)</t>
  </si>
  <si>
    <t>The 11th International FLINS Conference on Decision Making and Soft Computing (FLINS 2014)</t>
  </si>
  <si>
    <t>Joint 17th World Congress of International Fuzzy Systems Association and 9th International Conference on Soft Computing and Intelligent Systems (IFSA-SCIS 2017)</t>
  </si>
  <si>
    <t>The 16th World Congress of the International Fuzzy Systems Association and the 9th Conference of the European Society for Fuzzy Logic and Technology (IFSA-EUSFLAT 2015)</t>
  </si>
  <si>
    <t>The 15th IFSA World Congress and 32nd Annual Meeting of NAFIPS (IFSA-NAFIPS 2013)</t>
  </si>
  <si>
    <t>Joint 10th International Conference on Soft Computing and Intelligent Systems and 19th International Symposium on Advanced Intelligent Systems in conjunction with Intelligent Systems Workshop 2018 (SCIS-ISIS2018)</t>
  </si>
  <si>
    <t>The 1st International Alan Turing Conference on Decision Support and Recommender Systems (DSRS-Turing 2019)</t>
  </si>
  <si>
    <t>The 2018 IEEE International Conference on Technology Management, Operations and Decisions (IEEE ICTMOD 2018)</t>
  </si>
  <si>
    <t>The 37th North American Fuzzy Information Processing Society Annual Conference (NAFIPS 2018)</t>
  </si>
  <si>
    <t>The 2013 International Conference on Knowledge Science, Engineering and Management (KSEM 2013)</t>
  </si>
  <si>
    <t>The 12th International Workshop on Meta-synthesis &amp; Complex Systems (MCS 2012)</t>
  </si>
  <si>
    <t>Special Session Organizers</t>
  </si>
  <si>
    <t>"Artificial Intelligence for Optimization and Decision Making", in FLINS-ISKE 2026, co-organized by Zhen Zhang, Lijun Sun, Jiapeng Liu and Yucheng Dong.</t>
  </si>
  <si>
    <t>"Intelligent Group Decision Making and Consensus Process", in GDN 2021, GDN 2022, GDN 2023, GDN 2025, GDN 2026, co-organized by Zhen Zhang, Yucheng Dong, Francisco Chiclana and Enrique Herrera-Viedma.</t>
  </si>
  <si>
    <t>"Data and Network-Driven Decision Analysis", in Annual Conference on Data Science and Knowledge Systems Engineering, SESC, 2022, 2025, co-organized by Zhen Zhang, Jian Wu and Yucheng Dong.</t>
  </si>
  <si>
    <t>"Data and Network-Driven Decision Analysis", in the 2021 Annual Conference on Data Science and Knowledge Systems Engineering, SESC, co-organized by Zhen Zhang and Yucheng Dong.</t>
  </si>
  <si>
    <t>"Consensus for large-scale Group Decision Making", in ICSSE 2020, co-organized by Jian Wu, Yucheng Dong, Zaiwu Gong, Yejun Xu, and Zhen Zhang.</t>
  </si>
  <si>
    <t>"Managing Uncertainty in Data-Driven Decision Making", in FLINS 2020, co-organized by Zhen Zhang, Yucheng Dong and Yejun Xu.</t>
  </si>
  <si>
    <t>"Data-Driven Decision Making with Uncertainty", in ISKE 2019, co-organized by Luis Martínez, Yucheng Dong and Zhen Zhang.</t>
  </si>
  <si>
    <t>"Group Decision Making in Social Networks", in CIE 49, co-organized by Jian Wu, Yucheng Dong, Zaiwu Gong, Yejun Xu and Zhen Zhang.</t>
  </si>
  <si>
    <t>"Consensus Process Decision Making", in GDN 2018, co-organized by Yucheng Dong, Zaiwu Gong, Jian Wu, Zhen Zhang and Haiming Liang.</t>
  </si>
  <si>
    <t>"Intelligent Decision Support Systems: Models, Methods and Applications", in ISKE 2017, co-organized by Zhen Zhang and Jialin Han.</t>
  </si>
  <si>
    <t>name</t>
  </si>
  <si>
    <t>note</t>
  </si>
  <si>
    <t>Director</t>
  </si>
  <si>
    <t>Zhen Zhang</t>
  </si>
  <si>
    <t>https://dm-dut.github.io/</t>
  </si>
  <si>
    <t>Core Member</t>
  </si>
  <si>
    <t>Wenyu Yu</t>
  </si>
  <si>
    <t>A/Prof., School of Data Science and Artificial Intelligence, DUFE</t>
  </si>
  <si>
    <t>https://scholar.google.com/citations?user=O1SESW8AAAAJ</t>
  </si>
  <si>
    <t>PhD Students</t>
  </si>
  <si>
    <t>Qianqian Chen</t>
  </si>
  <si>
    <t>1 Multimedia Systems, 1 TEM, 1 INS</t>
  </si>
  <si>
    <t>Yuan Gao</t>
  </si>
  <si>
    <t>1 TFS, 1 KBS, 2 JORS, 1 ASOC, 2 INFFUS, 1 ESWA, excellent graduate of Dalian City, and excellent master thesis of Liaoning Province</t>
  </si>
  <si>
    <t>Zhuolin Li</t>
  </si>
  <si>
    <t>1 EJOR, 3 TSMC, 1 Omega, 1 TCSS, 1 COR, 1 JORS, 1 ANOR, 1 KBS, 2 INFFUS, 1 CAIE, 4 National Scholarships, excellent graduate of Dalian City, and excellent master thesis of Liaoning Province</t>
  </si>
  <si>
    <t>https://lzlloveys.github.io/</t>
  </si>
  <si>
    <t>Zihang Jia</t>
  </si>
  <si>
    <t>1 TCYB, 1 FSS, 1 ESWA, 1 AIRE, 1 SOCO, 1 IJFS</t>
  </si>
  <si>
    <t>Master Students</t>
  </si>
  <si>
    <t>Xiaotong Wu</t>
  </si>
  <si>
    <t>Shanshan Miao</t>
  </si>
  <si>
    <t>Junting Guo</t>
  </si>
  <si>
    <t>Ying Li</t>
  </si>
  <si>
    <t>Zitong Li</t>
  </si>
  <si>
    <t>Ziyu Xu</t>
  </si>
  <si>
    <t>1 ANOR, 1 National Scholarship</t>
  </si>
  <si>
    <t>Yuan Jin</t>
  </si>
  <si>
    <t>Jize Luo</t>
  </si>
  <si>
    <t>1 TSMC</t>
  </si>
  <si>
    <t>Yimingxuan Zhou</t>
  </si>
  <si>
    <t>Nan Yuan</t>
  </si>
  <si>
    <t>Xiaoyun Zhang</t>
  </si>
  <si>
    <t>Jinfang Gu</t>
  </si>
  <si>
    <t>Shuyao Shen</t>
  </si>
  <si>
    <t>Siyuan Ji</t>
  </si>
  <si>
    <t>currently working in Tencent</t>
  </si>
  <si>
    <t>1 EJOR, 2 TSMC, 1 Omega, 1 TCSS, 1 COR, 1 JORS, 1 ANOR, 1 KBS, 2 INFFUS, 1 CAIE, 3 National Scholarships, excellent graduate of Dalian City, and excellent master thesis of Liaoning Province</t>
  </si>
  <si>
    <t>Nan Wang</t>
  </si>
  <si>
    <t>Ph. D. student in DUT</t>
  </si>
  <si>
    <t>1 TFS, 1 KBS, 2 JORS, 1 ASOC, 1 INFFUS, 1 ESWA, excellent graduate of Dalian City, and excellent master thesis of Liaoning Province, Ph. D. student in DUT</t>
  </si>
  <si>
    <t>Junliang Gao</t>
  </si>
  <si>
    <t>1 ESWA, 1 ASOC, currently working in ICBC</t>
  </si>
  <si>
    <t>Xinyue Kou</t>
  </si>
  <si>
    <t>1 JORS 1 KBS, 1 ESWA, 1 ASOC, National Scholarship, Master Student Academic Star of DUT, excellent graduate and excellent master thesis of Liaoning Province, currently working in China UnionPay</t>
  </si>
  <si>
    <t>Purpose</t>
  </si>
  <si>
    <t>Maintain changing website content in Excel, then convert to JSON for the homepage.</t>
  </si>
  <si>
    <t>Do not maintain here</t>
  </si>
  <si>
    <t>Profile, external links, and Scholar settings are stable and stored in index.html/site.config.js.</t>
  </si>
  <si>
    <t>Publications</t>
  </si>
  <si>
    <t>Use your existing publication Excel. The converter supports a separate --publications-xlsx input and outputs data/publications.json.</t>
  </si>
  <si>
    <t>Command</t>
  </si>
  <si>
    <t>python scripts/convert_excel_to_json.py --excel homepage_content.xlsx --out data</t>
  </si>
  <si>
    <t>Command with publications</t>
  </si>
  <si>
    <t>python scripts/convert_excel_to_json.py --excel homepage_content.xlsx --publications-xlsx publications.xlsx --out data</t>
  </si>
  <si>
    <t>Publication filters</t>
  </si>
  <si>
    <t>The webpage automatically displays all records and supports filtering by year and type/category.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</si>
</sst>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rlito"/>
      <charset val="134"/>
    </font>
    <font>
      <b/>
      <sz val="11"/>
      <color rgb="FFFFFFFF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74A7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0" fillId="0" borderId="0"/>
  </cellStyleXfs>
  <cellXfs count="12">
    <xf numFmtId="0" fontId="0" fillId="0" borderId="0" xfId="0" applyAlignment="1"/>
    <xf numFmtId="0" fontId="1" fillId="2" borderId="0" xfId="49" applyFont="1" applyFill="1" applyAlignment="1">
      <alignment wrapText="1"/>
    </xf>
    <xf numFmtId="0" fontId="0" fillId="0" borderId="0" xfId="49" applyAlignment="1">
      <alignment wrapText="1"/>
    </xf>
    <xf numFmtId="0" fontId="1" fillId="2" borderId="0" xfId="49" applyFont="1" applyFill="1" applyAlignment="1">
      <alignment horizontal="center" vertical="center" wrapText="1"/>
    </xf>
    <xf numFmtId="0" fontId="0" fillId="0" borderId="0" xfId="0">
      <alignment vertical="center"/>
    </xf>
    <xf numFmtId="0" fontId="0" fillId="0" borderId="0" xfId="49" applyAlignment="1">
      <alignment horizontal="left"/>
    </xf>
    <xf numFmtId="0" fontId="0" fillId="0" borderId="0" xfId="49" applyAlignment="1">
      <alignment horizontal="left" wrapText="1"/>
    </xf>
    <xf numFmtId="0" fontId="0" fillId="0" borderId="0" xfId="0" applyNumberFormat="1" applyAlignment="1"/>
    <xf numFmtId="0" fontId="1" fillId="2" borderId="0" xfId="49" applyNumberFormat="1" applyFont="1" applyFill="1" applyAlignment="1">
      <alignment horizontal="center" vertical="center" wrapText="1"/>
    </xf>
    <xf numFmtId="14" fontId="0" fillId="0" borderId="0" xfId="49" applyNumberFormat="1" applyAlignment="1">
      <alignment horizontal="left" wrapText="1"/>
    </xf>
    <xf numFmtId="0" fontId="0" fillId="0" borderId="0" xfId="49" applyNumberFormat="1" applyAlignment="1">
      <alignment wrapText="1"/>
    </xf>
    <xf numFmtId="0" fontId="0" fillId="0" borderId="0" xfId="0" applyFill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41">
    <dxf/>
    <dxf/>
    <dxf/>
    <dxf/>
    <dxf>
      <numFmt numFmtId="0" formatCode="General"/>
    </dxf>
    <dxf/>
    <dxf/>
    <dxf/>
    <dxf/>
    <dxf/>
    <dxf/>
    <dxf/>
    <dxf/>
    <dxf/>
    <dxf/>
    <dxf/>
    <dxf/>
    <dxf/>
    <dxf/>
    <dxf/>
    <dxf/>
    <dxf/>
    <dxf/>
    <dxf/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30"/>
      <tableStyleElement type="headerRow" dxfId="29"/>
      <tableStyleElement type="totalRow" dxfId="28"/>
      <tableStyleElement type="firstColumn" dxfId="27"/>
      <tableStyleElement type="lastColumn" dxfId="26"/>
      <tableStyleElement type="firstRowStripe" dxfId="25"/>
      <tableStyleElement type="firstColumnStripe" dxfId="24"/>
    </tableStyle>
    <tableStyle name="PivotStylePreset2_Accent1" table="0" count="10" xr9:uid="{267968C8-6FFD-4C36-ACC1-9EA1FD1885CA}">
      <tableStyleElement type="headerRow" dxfId="40"/>
      <tableStyleElement type="totalRow" dxfId="39"/>
      <tableStyleElement type="firstRowStripe" dxfId="38"/>
      <tableStyleElement type="firstColumnStripe" dxfId="37"/>
      <tableStyleElement type="firstSubtotalRow" dxfId="36"/>
      <tableStyleElement type="secondSubtotalRow" dxfId="35"/>
      <tableStyleElement type="firstRowSubheading" dxfId="34"/>
      <tableStyleElement type="secondRowSubheading" dxfId="33"/>
      <tableStyleElement type="pageFieldLabels" dxfId="32"/>
      <tableStyleElement type="pageFieldValues" dxfId="3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NewsTable" displayName="NewsTable" ref="A1:E65">
  <tableColumns count="5">
    <tableColumn id="1" name="date" dataDxfId="0"/>
    <tableColumn id="2" name="category" dataDxfId="1"/>
    <tableColumn id="3" name="content" dataDxfId="2"/>
    <tableColumn id="4" name="link" dataDxfId="3"/>
    <tableColumn id="5" name="show_on_home" dataDxfId="4">
      <calculatedColumnFormula>IF(ROW()-1&lt;11,"yes","no")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wardsTable" displayName="AwardsTable" ref="A1:C13">
  <tableColumns count="3">
    <tableColumn id="1" name="year" dataDxfId="5"/>
    <tableColumn id="2" name="title" dataDxfId="6"/>
    <tableColumn id="3" name="organization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GrantsTable" displayName="GrantsTable" ref="A1:G23">
  <tableColumns count="7">
    <tableColumn id="1" name="no" dataDxfId="8"/>
    <tableColumn id="2" name="role" dataDxfId="9"/>
    <tableColumn id="3" name="title" dataDxfId="10"/>
    <tableColumn id="4" name="funder" dataDxfId="11"/>
    <tableColumn id="5" name="grant_no" dataDxfId="12"/>
    <tableColumn id="6" name="amount" dataDxfId="13"/>
    <tableColumn id="7" name="period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ervicesTable" displayName="ServicesTable" ref="A1:E125">
  <tableColumns count="5">
    <tableColumn id="1" name="category" dataDxfId="15"/>
    <tableColumn id="2" name="role" dataDxfId="16"/>
    <tableColumn id="3" name="organization" dataDxfId="17"/>
    <tableColumn id="4" name="item" dataDxfId="18"/>
    <tableColumn id="5" name="period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GroupTable" displayName="GroupTable" ref="A1:D26">
  <tableColumns count="4">
    <tableColumn id="1" name="category" dataDxfId="20"/>
    <tableColumn id="2" name="name" dataDxfId="21"/>
    <tableColumn id="3" name="note" dataDxfId="22"/>
    <tableColumn id="4" name="link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5"/>
  <sheetViews>
    <sheetView tabSelected="1" workbookViewId="0">
      <selection activeCell="A2" sqref="A2:A3"/>
    </sheetView>
  </sheetViews>
  <sheetFormatPr defaultColWidth="9" defaultRowHeight="14" outlineLevelCol="6"/>
  <cols>
    <col min="1" max="2" width="18" customWidth="1"/>
    <col min="3" max="3" width="42" customWidth="1"/>
    <col min="4" max="4" width="18" customWidth="1"/>
    <col min="5" max="5" width="18" style="7" customWidth="1"/>
  </cols>
  <sheetData>
    <row r="1" spans="1:7">
      <c r="A1" s="3" t="s">
        <v>0</v>
      </c>
      <c r="B1" s="3" t="s">
        <v>1</v>
      </c>
      <c r="C1" s="3" t="s">
        <v>2</v>
      </c>
      <c r="D1" s="3" t="s">
        <v>3</v>
      </c>
      <c r="E1" s="8" t="s">
        <v>4</v>
      </c>
      <c r="F1" t="s">
        <v>5</v>
      </c>
      <c r="G1" t="s">
        <v>6</v>
      </c>
    </row>
    <row r="2" ht="41" customHeight="1" spans="1:7">
      <c r="A2" s="9">
        <v>46184</v>
      </c>
      <c r="B2" s="2" t="s">
        <v>7</v>
      </c>
      <c r="C2" s="2" t="s">
        <v>8</v>
      </c>
      <c r="D2" s="4" t="s">
        <v>9</v>
      </c>
      <c r="E2" s="10" t="str">
        <f>IF(ROW()-1&lt;11,"yes","no")</f>
        <v>yes</v>
      </c>
    </row>
    <row r="3" ht="41" customHeight="1" spans="1:7">
      <c r="A3" s="9">
        <v>46177</v>
      </c>
      <c r="B3" s="2" t="s">
        <v>7</v>
      </c>
      <c r="C3" s="2" t="s">
        <v>10</v>
      </c>
      <c r="D3" s="4" t="s">
        <v>11</v>
      </c>
      <c r="E3" s="10" t="str">
        <f>IF(ROW()-1&lt;11,"yes","no")</f>
        <v>yes</v>
      </c>
    </row>
    <row r="4" ht="28" spans="1:7">
      <c r="A4" s="9">
        <v>46168</v>
      </c>
      <c r="B4" s="2" t="s">
        <v>12</v>
      </c>
      <c r="C4" s="2" t="s">
        <v>13</v>
      </c>
      <c r="D4" s="2"/>
      <c r="E4" s="10" t="str">
        <f>IF(ROW()-1&lt;11,"yes","no")</f>
        <v>yes</v>
      </c>
    </row>
    <row r="5" ht="70" spans="1:7">
      <c r="A5" s="2" t="s">
        <v>14</v>
      </c>
      <c r="B5" s="2" t="s">
        <v>15</v>
      </c>
      <c r="C5" s="2" t="s">
        <v>16</v>
      </c>
      <c r="D5" s="2" t="s">
        <v>17</v>
      </c>
      <c r="E5" s="10" t="str">
        <f t="shared" ref="E5:E14" si="0">IF(ROW()-1&lt;11,"yes","no")</f>
        <v>yes</v>
      </c>
      <c r="F5" t="s">
        <v>18</v>
      </c>
      <c r="G5" t="s">
        <v>19</v>
      </c>
    </row>
    <row r="6" ht="70" spans="1:7">
      <c r="A6" s="2" t="s">
        <v>20</v>
      </c>
      <c r="B6" s="2" t="s">
        <v>15</v>
      </c>
      <c r="C6" s="2" t="s">
        <v>21</v>
      </c>
      <c r="D6" s="11" t="s">
        <v>22</v>
      </c>
      <c r="E6" s="10" t="str">
        <f t="shared" si="0"/>
        <v>yes</v>
      </c>
      <c r="F6" t="s">
        <v>18</v>
      </c>
      <c r="G6" t="s">
        <v>23</v>
      </c>
    </row>
    <row r="7" ht="42" spans="1:7">
      <c r="A7" s="2" t="s">
        <v>24</v>
      </c>
      <c r="B7" s="2" t="s">
        <v>25</v>
      </c>
      <c r="C7" s="2" t="s">
        <v>26</v>
      </c>
      <c r="D7" s="11" t="s">
        <v>27</v>
      </c>
      <c r="E7" s="10" t="str">
        <f t="shared" si="0"/>
        <v>yes</v>
      </c>
      <c r="F7" t="s">
        <v>18</v>
      </c>
      <c r="G7" t="s">
        <v>28</v>
      </c>
    </row>
    <row r="8" ht="56" spans="1:7">
      <c r="A8" s="2" t="s">
        <v>29</v>
      </c>
      <c r="B8" s="2" t="s">
        <v>15</v>
      </c>
      <c r="C8" s="2" t="s">
        <v>30</v>
      </c>
      <c r="D8" s="2" t="s">
        <v>31</v>
      </c>
      <c r="E8" s="10" t="str">
        <f t="shared" si="0"/>
        <v>yes</v>
      </c>
      <c r="F8" t="s">
        <v>18</v>
      </c>
      <c r="G8" t="s">
        <v>32</v>
      </c>
    </row>
    <row r="9" ht="56" spans="1:7">
      <c r="A9" s="2" t="s">
        <v>33</v>
      </c>
      <c r="B9" s="2" t="s">
        <v>34</v>
      </c>
      <c r="C9" s="2" t="s">
        <v>35</v>
      </c>
      <c r="D9" s="11" t="s">
        <v>36</v>
      </c>
      <c r="E9" s="10" t="str">
        <f t="shared" si="0"/>
        <v>yes</v>
      </c>
      <c r="F9" t="s">
        <v>18</v>
      </c>
      <c r="G9" t="s">
        <v>37</v>
      </c>
    </row>
    <row r="10" ht="98" spans="1:7">
      <c r="A10" s="2" t="s">
        <v>38</v>
      </c>
      <c r="B10" s="2" t="s">
        <v>34</v>
      </c>
      <c r="C10" s="2" t="s">
        <v>39</v>
      </c>
      <c r="D10" s="2" t="s">
        <v>40</v>
      </c>
      <c r="E10" s="10" t="str">
        <f t="shared" si="0"/>
        <v>yes</v>
      </c>
      <c r="F10" t="s">
        <v>18</v>
      </c>
      <c r="G10" t="s">
        <v>41</v>
      </c>
    </row>
    <row r="11" ht="70" spans="1:7">
      <c r="A11" s="2" t="s">
        <v>42</v>
      </c>
      <c r="B11" s="2" t="s">
        <v>7</v>
      </c>
      <c r="C11" s="2" t="s">
        <v>43</v>
      </c>
      <c r="D11" s="2" t="s">
        <v>44</v>
      </c>
      <c r="E11" s="10" t="str">
        <f t="shared" si="0"/>
        <v>yes</v>
      </c>
      <c r="F11" t="s">
        <v>18</v>
      </c>
      <c r="G11" t="s">
        <v>45</v>
      </c>
    </row>
    <row r="12" ht="56" spans="1:7">
      <c r="A12" s="2" t="s">
        <v>42</v>
      </c>
      <c r="B12" s="2" t="s">
        <v>7</v>
      </c>
      <c r="C12" s="2" t="s">
        <v>46</v>
      </c>
      <c r="D12" s="2" t="s">
        <v>47</v>
      </c>
      <c r="E12" s="10" t="str">
        <f t="shared" si="0"/>
        <v>no</v>
      </c>
      <c r="F12" t="s">
        <v>18</v>
      </c>
      <c r="G12" t="s">
        <v>48</v>
      </c>
    </row>
    <row r="13" ht="56" spans="1:7">
      <c r="A13" s="2" t="s">
        <v>49</v>
      </c>
      <c r="B13" s="2" t="s">
        <v>7</v>
      </c>
      <c r="C13" s="2" t="s">
        <v>50</v>
      </c>
      <c r="D13" s="2" t="s">
        <v>51</v>
      </c>
      <c r="E13" s="10" t="str">
        <f t="shared" si="0"/>
        <v>no</v>
      </c>
      <c r="F13" t="s">
        <v>18</v>
      </c>
      <c r="G13" t="s">
        <v>52</v>
      </c>
    </row>
    <row r="14" ht="70" spans="1:7">
      <c r="A14" s="2" t="s">
        <v>53</v>
      </c>
      <c r="B14" s="2" t="s">
        <v>7</v>
      </c>
      <c r="C14" s="2" t="s">
        <v>54</v>
      </c>
      <c r="D14" s="2" t="s">
        <v>55</v>
      </c>
      <c r="E14" s="10" t="str">
        <f t="shared" si="0"/>
        <v>no</v>
      </c>
      <c r="F14" t="s">
        <v>18</v>
      </c>
      <c r="G14" t="s">
        <v>56</v>
      </c>
    </row>
    <row r="15" ht="70" spans="1:7">
      <c r="A15" s="2" t="s">
        <v>57</v>
      </c>
      <c r="B15" s="2" t="s">
        <v>7</v>
      </c>
      <c r="C15" s="2" t="s">
        <v>58</v>
      </c>
      <c r="D15" s="2" t="s">
        <v>59</v>
      </c>
      <c r="E15" s="10" t="str">
        <f t="shared" ref="E15:E24" si="1">IF(ROW()-1&lt;11,"yes","no")</f>
        <v>no</v>
      </c>
      <c r="F15" t="s">
        <v>59</v>
      </c>
      <c r="G15" t="s">
        <v>59</v>
      </c>
    </row>
    <row r="16" ht="84" spans="1:7">
      <c r="A16" s="2" t="s">
        <v>60</v>
      </c>
      <c r="B16" s="2" t="s">
        <v>7</v>
      </c>
      <c r="C16" s="2" t="s">
        <v>61</v>
      </c>
      <c r="D16" s="2" t="s">
        <v>62</v>
      </c>
      <c r="E16" s="10" t="str">
        <f t="shared" si="1"/>
        <v>no</v>
      </c>
      <c r="F16" t="s">
        <v>18</v>
      </c>
      <c r="G16" t="s">
        <v>63</v>
      </c>
    </row>
    <row r="17" ht="70" spans="1:7">
      <c r="A17" s="2" t="s">
        <v>64</v>
      </c>
      <c r="B17" s="2" t="s">
        <v>12</v>
      </c>
      <c r="C17" s="2" t="s">
        <v>65</v>
      </c>
      <c r="D17" s="2" t="s">
        <v>66</v>
      </c>
      <c r="E17" s="10" t="str">
        <f t="shared" si="1"/>
        <v>no</v>
      </c>
      <c r="F17" t="s">
        <v>18</v>
      </c>
      <c r="G17" t="s">
        <v>67</v>
      </c>
    </row>
    <row r="18" ht="42" spans="1:7">
      <c r="A18" s="2" t="s">
        <v>68</v>
      </c>
      <c r="B18" s="2" t="s">
        <v>69</v>
      </c>
      <c r="C18" s="2" t="s">
        <v>70</v>
      </c>
      <c r="D18" s="2" t="s">
        <v>71</v>
      </c>
      <c r="E18" s="10" t="str">
        <f t="shared" si="1"/>
        <v>no</v>
      </c>
      <c r="F18" t="s">
        <v>18</v>
      </c>
      <c r="G18" t="s">
        <v>72</v>
      </c>
    </row>
    <row r="19" ht="56" spans="1:7">
      <c r="A19" s="2" t="s">
        <v>73</v>
      </c>
      <c r="B19" s="2" t="s">
        <v>7</v>
      </c>
      <c r="C19" s="2" t="s">
        <v>74</v>
      </c>
      <c r="D19" s="2" t="s">
        <v>75</v>
      </c>
      <c r="E19" s="10" t="str">
        <f t="shared" si="1"/>
        <v>no</v>
      </c>
      <c r="F19" t="s">
        <v>18</v>
      </c>
      <c r="G19" t="s">
        <v>76</v>
      </c>
    </row>
    <row r="20" ht="70" spans="1:7">
      <c r="A20" s="2" t="s">
        <v>73</v>
      </c>
      <c r="B20" s="2" t="s">
        <v>7</v>
      </c>
      <c r="C20" s="2" t="s">
        <v>77</v>
      </c>
      <c r="D20" s="2" t="s">
        <v>78</v>
      </c>
      <c r="E20" s="10" t="str">
        <f t="shared" si="1"/>
        <v>no</v>
      </c>
      <c r="F20" t="s">
        <v>18</v>
      </c>
      <c r="G20" t="s">
        <v>79</v>
      </c>
    </row>
    <row r="21" ht="56" spans="1:7">
      <c r="A21" s="2" t="s">
        <v>80</v>
      </c>
      <c r="B21" s="2" t="s">
        <v>7</v>
      </c>
      <c r="C21" s="2" t="s">
        <v>81</v>
      </c>
      <c r="D21" s="2" t="s">
        <v>82</v>
      </c>
      <c r="E21" s="10" t="str">
        <f t="shared" si="1"/>
        <v>no</v>
      </c>
      <c r="F21" t="s">
        <v>18</v>
      </c>
      <c r="G21" t="s">
        <v>83</v>
      </c>
    </row>
    <row r="22" ht="70" spans="1:7">
      <c r="A22" s="2" t="s">
        <v>84</v>
      </c>
      <c r="B22" s="2" t="s">
        <v>7</v>
      </c>
      <c r="C22" s="2" t="s">
        <v>85</v>
      </c>
      <c r="D22" s="2" t="s">
        <v>86</v>
      </c>
      <c r="E22" s="10" t="str">
        <f t="shared" si="1"/>
        <v>no</v>
      </c>
      <c r="F22" t="s">
        <v>18</v>
      </c>
      <c r="G22" t="s">
        <v>87</v>
      </c>
    </row>
    <row r="23" ht="56" spans="1:7">
      <c r="A23" s="2" t="s">
        <v>88</v>
      </c>
      <c r="B23" s="2" t="s">
        <v>7</v>
      </c>
      <c r="C23" s="2" t="s">
        <v>89</v>
      </c>
      <c r="D23" s="2" t="s">
        <v>59</v>
      </c>
      <c r="E23" s="10" t="str">
        <f t="shared" si="1"/>
        <v>no</v>
      </c>
      <c r="F23" t="s">
        <v>59</v>
      </c>
      <c r="G23" t="s">
        <v>59</v>
      </c>
    </row>
    <row r="24" ht="56" spans="1:7">
      <c r="A24" s="2" t="s">
        <v>88</v>
      </c>
      <c r="B24" s="2" t="s">
        <v>7</v>
      </c>
      <c r="C24" s="2" t="s">
        <v>90</v>
      </c>
      <c r="D24" s="2" t="s">
        <v>91</v>
      </c>
      <c r="E24" s="10" t="str">
        <f t="shared" si="1"/>
        <v>no</v>
      </c>
      <c r="F24" t="s">
        <v>18</v>
      </c>
      <c r="G24" t="s">
        <v>92</v>
      </c>
    </row>
    <row r="25" ht="42" spans="1:7">
      <c r="A25" s="2" t="s">
        <v>93</v>
      </c>
      <c r="B25" s="2" t="s">
        <v>15</v>
      </c>
      <c r="C25" s="2" t="s">
        <v>94</v>
      </c>
      <c r="D25" s="2" t="s">
        <v>95</v>
      </c>
      <c r="E25" s="10" t="str">
        <f t="shared" ref="E25:E34" si="2">IF(ROW()-1&lt;11,"yes","no")</f>
        <v>no</v>
      </c>
      <c r="F25" t="s">
        <v>18</v>
      </c>
      <c r="G25" t="s">
        <v>96</v>
      </c>
    </row>
    <row r="26" ht="70" spans="1:7">
      <c r="A26" s="2" t="s">
        <v>97</v>
      </c>
      <c r="B26" s="2" t="s">
        <v>7</v>
      </c>
      <c r="C26" s="2" t="s">
        <v>98</v>
      </c>
      <c r="D26" s="2" t="s">
        <v>59</v>
      </c>
      <c r="E26" s="10" t="str">
        <f t="shared" si="2"/>
        <v>no</v>
      </c>
      <c r="F26" t="s">
        <v>59</v>
      </c>
      <c r="G26" t="s">
        <v>59</v>
      </c>
    </row>
    <row r="27" ht="42" spans="1:7">
      <c r="A27" s="2" t="s">
        <v>99</v>
      </c>
      <c r="B27" s="2" t="s">
        <v>15</v>
      </c>
      <c r="C27" s="2" t="s">
        <v>100</v>
      </c>
      <c r="D27" s="2" t="s">
        <v>101</v>
      </c>
      <c r="E27" s="10" t="str">
        <f t="shared" si="2"/>
        <v>no</v>
      </c>
      <c r="F27" t="s">
        <v>18</v>
      </c>
      <c r="G27" t="s">
        <v>102</v>
      </c>
    </row>
    <row r="28" ht="42" spans="1:7">
      <c r="A28" s="2" t="s">
        <v>103</v>
      </c>
      <c r="B28" s="2" t="s">
        <v>15</v>
      </c>
      <c r="C28" s="2" t="s">
        <v>104</v>
      </c>
      <c r="D28" s="2" t="s">
        <v>105</v>
      </c>
      <c r="E28" s="10" t="str">
        <f t="shared" si="2"/>
        <v>no</v>
      </c>
      <c r="F28" t="s">
        <v>18</v>
      </c>
      <c r="G28" t="s">
        <v>106</v>
      </c>
    </row>
    <row r="29" ht="42" spans="1:7">
      <c r="A29" s="2" t="s">
        <v>107</v>
      </c>
      <c r="B29" s="2" t="s">
        <v>25</v>
      </c>
      <c r="C29" s="2" t="s">
        <v>108</v>
      </c>
      <c r="D29" s="2" t="s">
        <v>59</v>
      </c>
      <c r="E29" s="10" t="str">
        <f t="shared" si="2"/>
        <v>no</v>
      </c>
      <c r="F29" t="s">
        <v>59</v>
      </c>
      <c r="G29" t="s">
        <v>59</v>
      </c>
    </row>
    <row r="30" ht="42" spans="1:7">
      <c r="A30" s="2" t="s">
        <v>109</v>
      </c>
      <c r="B30" s="2" t="s">
        <v>15</v>
      </c>
      <c r="C30" s="2" t="s">
        <v>110</v>
      </c>
      <c r="D30" s="2" t="s">
        <v>111</v>
      </c>
      <c r="E30" s="10" t="str">
        <f t="shared" si="2"/>
        <v>no</v>
      </c>
      <c r="F30" t="s">
        <v>18</v>
      </c>
      <c r="G30" t="s">
        <v>112</v>
      </c>
    </row>
    <row r="31" ht="42" spans="1:7">
      <c r="A31" s="2" t="s">
        <v>113</v>
      </c>
      <c r="B31" s="2" t="s">
        <v>12</v>
      </c>
      <c r="C31" s="2" t="s">
        <v>114</v>
      </c>
      <c r="D31" s="2" t="s">
        <v>115</v>
      </c>
      <c r="E31" s="10" t="str">
        <f t="shared" si="2"/>
        <v>no</v>
      </c>
      <c r="F31" t="s">
        <v>18</v>
      </c>
      <c r="G31" t="s">
        <v>116</v>
      </c>
    </row>
    <row r="32" ht="84" spans="1:7">
      <c r="A32" s="2" t="s">
        <v>117</v>
      </c>
      <c r="B32" s="2" t="s">
        <v>7</v>
      </c>
      <c r="C32" s="2" t="s">
        <v>118</v>
      </c>
      <c r="D32" s="2" t="s">
        <v>59</v>
      </c>
      <c r="E32" s="10" t="str">
        <f t="shared" si="2"/>
        <v>no</v>
      </c>
      <c r="F32" t="s">
        <v>59</v>
      </c>
      <c r="G32" t="s">
        <v>59</v>
      </c>
    </row>
    <row r="33" ht="56" spans="1:7">
      <c r="A33" s="2" t="s">
        <v>119</v>
      </c>
      <c r="B33" s="2" t="s">
        <v>7</v>
      </c>
      <c r="C33" s="2" t="s">
        <v>120</v>
      </c>
      <c r="D33" s="2" t="s">
        <v>121</v>
      </c>
      <c r="E33" s="10" t="str">
        <f t="shared" si="2"/>
        <v>no</v>
      </c>
      <c r="F33" t="s">
        <v>18</v>
      </c>
      <c r="G33" t="s">
        <v>122</v>
      </c>
    </row>
    <row r="34" ht="28" spans="1:7">
      <c r="A34" s="2" t="s">
        <v>123</v>
      </c>
      <c r="B34" s="2" t="s">
        <v>15</v>
      </c>
      <c r="C34" s="2" t="s">
        <v>124</v>
      </c>
      <c r="D34" s="2" t="s">
        <v>125</v>
      </c>
      <c r="E34" s="10" t="str">
        <f t="shared" si="2"/>
        <v>no</v>
      </c>
      <c r="F34" t="s">
        <v>18</v>
      </c>
      <c r="G34" t="s">
        <v>126</v>
      </c>
    </row>
    <row r="35" ht="42" spans="1:7">
      <c r="A35" s="2" t="s">
        <v>127</v>
      </c>
      <c r="B35" s="2" t="s">
        <v>15</v>
      </c>
      <c r="C35" s="2" t="s">
        <v>110</v>
      </c>
      <c r="D35" s="2" t="s">
        <v>128</v>
      </c>
      <c r="E35" s="10" t="str">
        <f t="shared" ref="E35:E44" si="3">IF(ROW()-1&lt;11,"yes","no")</f>
        <v>no</v>
      </c>
      <c r="F35" t="s">
        <v>18</v>
      </c>
      <c r="G35" t="s">
        <v>129</v>
      </c>
    </row>
    <row r="36" ht="42" spans="1:7">
      <c r="A36" s="2" t="s">
        <v>130</v>
      </c>
      <c r="B36" s="2" t="s">
        <v>15</v>
      </c>
      <c r="C36" s="2" t="s">
        <v>131</v>
      </c>
      <c r="D36" s="2" t="s">
        <v>132</v>
      </c>
      <c r="E36" s="10" t="str">
        <f t="shared" si="3"/>
        <v>no</v>
      </c>
      <c r="F36" t="s">
        <v>18</v>
      </c>
      <c r="G36" t="s">
        <v>133</v>
      </c>
    </row>
    <row r="37" ht="42" spans="1:7">
      <c r="A37" s="2" t="s">
        <v>134</v>
      </c>
      <c r="B37" s="2" t="s">
        <v>15</v>
      </c>
      <c r="C37" s="2" t="s">
        <v>110</v>
      </c>
      <c r="D37" s="2" t="s">
        <v>135</v>
      </c>
      <c r="E37" s="10" t="str">
        <f t="shared" si="3"/>
        <v>no</v>
      </c>
      <c r="F37" t="s">
        <v>18</v>
      </c>
      <c r="G37" t="s">
        <v>136</v>
      </c>
    </row>
    <row r="38" ht="28" spans="1:7">
      <c r="A38" s="2" t="s">
        <v>137</v>
      </c>
      <c r="B38" s="2" t="s">
        <v>15</v>
      </c>
      <c r="C38" s="2" t="s">
        <v>138</v>
      </c>
      <c r="D38" s="2" t="s">
        <v>139</v>
      </c>
      <c r="E38" s="10" t="str">
        <f t="shared" si="3"/>
        <v>no</v>
      </c>
      <c r="F38" t="s">
        <v>18</v>
      </c>
      <c r="G38" t="s">
        <v>140</v>
      </c>
    </row>
    <row r="39" ht="28" spans="1:7">
      <c r="A39" s="2" t="s">
        <v>141</v>
      </c>
      <c r="B39" s="2" t="s">
        <v>15</v>
      </c>
      <c r="C39" s="2" t="s">
        <v>142</v>
      </c>
      <c r="D39" s="2" t="s">
        <v>143</v>
      </c>
      <c r="E39" s="10" t="str">
        <f t="shared" si="3"/>
        <v>no</v>
      </c>
      <c r="F39" t="s">
        <v>18</v>
      </c>
      <c r="G39" t="s">
        <v>144</v>
      </c>
    </row>
    <row r="40" ht="42" spans="1:7">
      <c r="A40" s="2" t="s">
        <v>145</v>
      </c>
      <c r="B40" s="2" t="s">
        <v>15</v>
      </c>
      <c r="C40" s="2" t="s">
        <v>146</v>
      </c>
      <c r="D40" s="2" t="s">
        <v>66</v>
      </c>
      <c r="E40" s="10" t="str">
        <f t="shared" si="3"/>
        <v>no</v>
      </c>
      <c r="F40" t="s">
        <v>18</v>
      </c>
      <c r="G40" t="s">
        <v>147</v>
      </c>
    </row>
    <row r="41" ht="42" spans="1:7">
      <c r="A41" s="2" t="s">
        <v>148</v>
      </c>
      <c r="B41" s="2" t="s">
        <v>15</v>
      </c>
      <c r="C41" s="2" t="s">
        <v>149</v>
      </c>
      <c r="D41" s="2" t="s">
        <v>150</v>
      </c>
      <c r="E41" s="10" t="str">
        <f t="shared" si="3"/>
        <v>no</v>
      </c>
      <c r="F41" t="s">
        <v>18</v>
      </c>
      <c r="G41" t="s">
        <v>151</v>
      </c>
    </row>
    <row r="42" ht="56" spans="1:7">
      <c r="A42" s="2" t="s">
        <v>152</v>
      </c>
      <c r="B42" s="2" t="s">
        <v>25</v>
      </c>
      <c r="C42" s="2" t="s">
        <v>153</v>
      </c>
      <c r="D42" s="2" t="s">
        <v>154</v>
      </c>
      <c r="E42" s="10" t="str">
        <f t="shared" si="3"/>
        <v>no</v>
      </c>
      <c r="F42" t="s">
        <v>18</v>
      </c>
      <c r="G42" t="s">
        <v>155</v>
      </c>
    </row>
    <row r="43" ht="28" spans="1:7">
      <c r="A43" s="2" t="s">
        <v>156</v>
      </c>
      <c r="B43" s="2" t="s">
        <v>157</v>
      </c>
      <c r="C43" s="2" t="s">
        <v>158</v>
      </c>
      <c r="D43" s="2" t="s">
        <v>59</v>
      </c>
      <c r="E43" s="10" t="str">
        <f t="shared" si="3"/>
        <v>no</v>
      </c>
      <c r="F43" t="s">
        <v>59</v>
      </c>
      <c r="G43" t="s">
        <v>59</v>
      </c>
    </row>
    <row r="44" ht="42" spans="1:7">
      <c r="A44" s="2" t="s">
        <v>159</v>
      </c>
      <c r="B44" s="2" t="s">
        <v>25</v>
      </c>
      <c r="C44" s="2" t="s">
        <v>160</v>
      </c>
      <c r="D44" s="2" t="s">
        <v>161</v>
      </c>
      <c r="E44" s="10" t="str">
        <f t="shared" si="3"/>
        <v>no</v>
      </c>
      <c r="F44" t="s">
        <v>18</v>
      </c>
      <c r="G44" t="s">
        <v>162</v>
      </c>
    </row>
    <row r="45" ht="56" spans="1:7">
      <c r="A45" s="2" t="s">
        <v>163</v>
      </c>
      <c r="B45" s="2" t="s">
        <v>15</v>
      </c>
      <c r="C45" s="2" t="s">
        <v>164</v>
      </c>
      <c r="D45" s="2" t="s">
        <v>165</v>
      </c>
      <c r="E45" s="10" t="str">
        <f t="shared" ref="E45:E54" si="4">IF(ROW()-1&lt;11,"yes","no")</f>
        <v>no</v>
      </c>
      <c r="F45" t="s">
        <v>18</v>
      </c>
      <c r="G45" t="s">
        <v>166</v>
      </c>
    </row>
    <row r="46" ht="42" spans="1:7">
      <c r="A46" s="2" t="s">
        <v>167</v>
      </c>
      <c r="B46" s="2" t="s">
        <v>15</v>
      </c>
      <c r="C46" s="2" t="s">
        <v>168</v>
      </c>
      <c r="D46" s="2" t="s">
        <v>169</v>
      </c>
      <c r="E46" s="10" t="str">
        <f t="shared" si="4"/>
        <v>no</v>
      </c>
      <c r="F46" t="s">
        <v>18</v>
      </c>
      <c r="G46" t="s">
        <v>170</v>
      </c>
    </row>
    <row r="47" ht="42" spans="1:7">
      <c r="A47" s="2" t="s">
        <v>171</v>
      </c>
      <c r="B47" s="2" t="s">
        <v>15</v>
      </c>
      <c r="C47" s="2" t="s">
        <v>172</v>
      </c>
      <c r="D47" s="2" t="s">
        <v>173</v>
      </c>
      <c r="E47" s="10" t="str">
        <f t="shared" si="4"/>
        <v>no</v>
      </c>
      <c r="F47" t="s">
        <v>18</v>
      </c>
      <c r="G47" t="s">
        <v>174</v>
      </c>
    </row>
    <row r="48" ht="56" spans="1:7">
      <c r="A48" s="2" t="s">
        <v>175</v>
      </c>
      <c r="B48" s="2" t="s">
        <v>25</v>
      </c>
      <c r="C48" s="2" t="s">
        <v>176</v>
      </c>
      <c r="D48" s="2" t="s">
        <v>177</v>
      </c>
      <c r="E48" s="10" t="str">
        <f t="shared" si="4"/>
        <v>no</v>
      </c>
      <c r="F48" t="s">
        <v>18</v>
      </c>
      <c r="G48" t="s">
        <v>178</v>
      </c>
    </row>
    <row r="49" ht="42" spans="1:7">
      <c r="A49" s="2" t="s">
        <v>179</v>
      </c>
      <c r="B49" s="2" t="s">
        <v>12</v>
      </c>
      <c r="C49" s="2" t="s">
        <v>180</v>
      </c>
      <c r="D49" s="2" t="s">
        <v>181</v>
      </c>
      <c r="E49" s="10" t="str">
        <f t="shared" si="4"/>
        <v>no</v>
      </c>
      <c r="F49" t="s">
        <v>18</v>
      </c>
      <c r="G49" t="s">
        <v>182</v>
      </c>
    </row>
    <row r="50" ht="42" spans="1:7">
      <c r="A50" s="2" t="s">
        <v>183</v>
      </c>
      <c r="B50" s="2" t="s">
        <v>25</v>
      </c>
      <c r="C50" s="2" t="s">
        <v>184</v>
      </c>
      <c r="D50" s="2" t="s">
        <v>185</v>
      </c>
      <c r="E50" s="10" t="str">
        <f t="shared" si="4"/>
        <v>no</v>
      </c>
      <c r="F50" t="s">
        <v>18</v>
      </c>
      <c r="G50" t="s">
        <v>186</v>
      </c>
    </row>
    <row r="51" spans="1:7">
      <c r="A51" s="2" t="s">
        <v>187</v>
      </c>
      <c r="B51" s="2" t="s">
        <v>12</v>
      </c>
      <c r="C51" s="2" t="s">
        <v>188</v>
      </c>
      <c r="D51" s="2" t="s">
        <v>59</v>
      </c>
      <c r="E51" s="10" t="str">
        <f t="shared" si="4"/>
        <v>no</v>
      </c>
      <c r="F51" t="s">
        <v>59</v>
      </c>
      <c r="G51" t="s">
        <v>59</v>
      </c>
    </row>
    <row r="52" ht="28" spans="1:7">
      <c r="A52" s="2" t="s">
        <v>189</v>
      </c>
      <c r="B52" s="2" t="s">
        <v>157</v>
      </c>
      <c r="C52" s="2" t="s">
        <v>190</v>
      </c>
      <c r="D52" s="2" t="s">
        <v>59</v>
      </c>
      <c r="E52" s="10" t="str">
        <f t="shared" si="4"/>
        <v>no</v>
      </c>
      <c r="F52" t="s">
        <v>59</v>
      </c>
      <c r="G52" t="s">
        <v>59</v>
      </c>
    </row>
    <row r="53" ht="70" spans="1:7">
      <c r="A53" s="2" t="s">
        <v>191</v>
      </c>
      <c r="B53" s="2" t="s">
        <v>25</v>
      </c>
      <c r="C53" s="2" t="s">
        <v>192</v>
      </c>
      <c r="D53" s="2" t="s">
        <v>193</v>
      </c>
      <c r="E53" s="10" t="str">
        <f t="shared" si="4"/>
        <v>no</v>
      </c>
      <c r="F53" t="s">
        <v>18</v>
      </c>
      <c r="G53" t="s">
        <v>194</v>
      </c>
    </row>
    <row r="54" ht="42" spans="1:7">
      <c r="A54" s="2" t="s">
        <v>195</v>
      </c>
      <c r="B54" s="2" t="s">
        <v>15</v>
      </c>
      <c r="C54" s="2" t="s">
        <v>196</v>
      </c>
      <c r="D54" s="2" t="s">
        <v>197</v>
      </c>
      <c r="E54" s="10" t="str">
        <f t="shared" si="4"/>
        <v>no</v>
      </c>
      <c r="F54" t="s">
        <v>18</v>
      </c>
      <c r="G54" t="s">
        <v>198</v>
      </c>
    </row>
    <row r="55" ht="42" spans="1:7">
      <c r="A55" s="2" t="s">
        <v>199</v>
      </c>
      <c r="B55" s="2" t="s">
        <v>15</v>
      </c>
      <c r="C55" s="2" t="s">
        <v>200</v>
      </c>
      <c r="D55" s="2" t="s">
        <v>201</v>
      </c>
      <c r="E55" s="10" t="str">
        <f t="shared" ref="E55:E65" si="5">IF(ROW()-1&lt;11,"yes","no")</f>
        <v>no</v>
      </c>
      <c r="F55" t="s">
        <v>18</v>
      </c>
      <c r="G55" t="s">
        <v>202</v>
      </c>
    </row>
    <row r="56" ht="42" spans="1:7">
      <c r="A56" s="2" t="s">
        <v>203</v>
      </c>
      <c r="B56" s="2" t="s">
        <v>15</v>
      </c>
      <c r="C56" s="2" t="s">
        <v>204</v>
      </c>
      <c r="D56" s="2" t="s">
        <v>205</v>
      </c>
      <c r="E56" s="10" t="str">
        <f t="shared" si="5"/>
        <v>no</v>
      </c>
      <c r="F56" t="s">
        <v>18</v>
      </c>
      <c r="G56" t="s">
        <v>206</v>
      </c>
    </row>
    <row r="57" ht="28" spans="1:7">
      <c r="A57" s="2" t="s">
        <v>207</v>
      </c>
      <c r="B57" s="2" t="s">
        <v>15</v>
      </c>
      <c r="C57" s="2" t="s">
        <v>208</v>
      </c>
      <c r="D57" s="2" t="s">
        <v>209</v>
      </c>
      <c r="E57" s="10" t="str">
        <f t="shared" si="5"/>
        <v>no</v>
      </c>
      <c r="F57" t="s">
        <v>18</v>
      </c>
      <c r="G57" t="s">
        <v>210</v>
      </c>
    </row>
    <row r="58" ht="42" spans="1:7">
      <c r="A58" s="2" t="s">
        <v>211</v>
      </c>
      <c r="B58" s="2" t="s">
        <v>15</v>
      </c>
      <c r="C58" s="2" t="s">
        <v>212</v>
      </c>
      <c r="D58" s="2" t="s">
        <v>213</v>
      </c>
      <c r="E58" s="10" t="str">
        <f t="shared" si="5"/>
        <v>no</v>
      </c>
      <c r="F58" t="s">
        <v>18</v>
      </c>
      <c r="G58" t="s">
        <v>214</v>
      </c>
    </row>
    <row r="59" ht="28" spans="1:7">
      <c r="A59" s="2" t="s">
        <v>215</v>
      </c>
      <c r="B59" s="2" t="s">
        <v>12</v>
      </c>
      <c r="C59" s="2" t="s">
        <v>216</v>
      </c>
      <c r="D59" s="2" t="s">
        <v>181</v>
      </c>
      <c r="E59" s="10" t="str">
        <f t="shared" si="5"/>
        <v>no</v>
      </c>
      <c r="F59" t="s">
        <v>18</v>
      </c>
      <c r="G59" t="s">
        <v>182</v>
      </c>
    </row>
    <row r="60" ht="56" spans="1:7">
      <c r="A60" s="2" t="s">
        <v>217</v>
      </c>
      <c r="B60" s="2" t="s">
        <v>25</v>
      </c>
      <c r="C60" s="2" t="s">
        <v>218</v>
      </c>
      <c r="D60" s="2" t="s">
        <v>219</v>
      </c>
      <c r="E60" s="10" t="str">
        <f t="shared" si="5"/>
        <v>no</v>
      </c>
      <c r="F60" t="s">
        <v>18</v>
      </c>
      <c r="G60" t="s">
        <v>220</v>
      </c>
    </row>
    <row r="61" ht="84" spans="1:7">
      <c r="A61" s="2" t="s">
        <v>221</v>
      </c>
      <c r="B61" s="2" t="s">
        <v>25</v>
      </c>
      <c r="C61" s="2" t="s">
        <v>222</v>
      </c>
      <c r="D61" s="2" t="s">
        <v>59</v>
      </c>
      <c r="E61" s="10" t="str">
        <f t="shared" si="5"/>
        <v>no</v>
      </c>
      <c r="F61" t="s">
        <v>59</v>
      </c>
      <c r="G61" t="s">
        <v>59</v>
      </c>
    </row>
    <row r="62" ht="84" spans="1:7">
      <c r="A62" s="2" t="s">
        <v>223</v>
      </c>
      <c r="B62" s="2" t="s">
        <v>7</v>
      </c>
      <c r="C62" s="2" t="s">
        <v>224</v>
      </c>
      <c r="D62" s="2" t="s">
        <v>59</v>
      </c>
      <c r="E62" s="10" t="str">
        <f t="shared" si="5"/>
        <v>no</v>
      </c>
      <c r="F62" t="s">
        <v>59</v>
      </c>
      <c r="G62" t="s">
        <v>59</v>
      </c>
    </row>
    <row r="63" ht="42" spans="1:7">
      <c r="A63" s="2" t="s">
        <v>225</v>
      </c>
      <c r="B63" s="2" t="s">
        <v>15</v>
      </c>
      <c r="C63" s="2" t="s">
        <v>226</v>
      </c>
      <c r="D63" s="2" t="s">
        <v>227</v>
      </c>
      <c r="E63" s="10" t="str">
        <f t="shared" si="5"/>
        <v>no</v>
      </c>
      <c r="F63" t="s">
        <v>18</v>
      </c>
      <c r="G63" t="s">
        <v>228</v>
      </c>
    </row>
    <row r="64" ht="42" spans="1:7">
      <c r="A64" s="2" t="s">
        <v>229</v>
      </c>
      <c r="B64" s="2" t="s">
        <v>15</v>
      </c>
      <c r="C64" s="2" t="s">
        <v>230</v>
      </c>
      <c r="D64" s="2" t="s">
        <v>231</v>
      </c>
      <c r="E64" s="10" t="str">
        <f t="shared" si="5"/>
        <v>no</v>
      </c>
      <c r="F64" t="s">
        <v>18</v>
      </c>
      <c r="G64" t="s">
        <v>232</v>
      </c>
    </row>
    <row r="65" ht="56" spans="1:7">
      <c r="A65" s="2" t="s">
        <v>233</v>
      </c>
      <c r="B65" s="2" t="s">
        <v>7</v>
      </c>
      <c r="C65" s="2" t="s">
        <v>234</v>
      </c>
      <c r="D65" s="2" t="s">
        <v>59</v>
      </c>
      <c r="E65" s="10" t="str">
        <f t="shared" si="5"/>
        <v>no</v>
      </c>
      <c r="F65" t="s">
        <v>59</v>
      </c>
      <c r="G65" t="s">
        <v>59</v>
      </c>
    </row>
  </sheetData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"/>
  <sheetViews>
    <sheetView workbookViewId="0">
      <selection activeCell="B19" sqref="B19"/>
    </sheetView>
  </sheetViews>
  <sheetFormatPr defaultColWidth="9" defaultRowHeight="14" outlineLevelCol="2"/>
  <cols>
    <col min="1" max="1" width="18" customWidth="1"/>
    <col min="2" max="2" width="42" customWidth="1"/>
    <col min="3" max="3" width="32" customWidth="1"/>
  </cols>
  <sheetData>
    <row r="1" spans="1:3">
      <c r="A1" s="3" t="s">
        <v>235</v>
      </c>
      <c r="B1" s="3" t="s">
        <v>236</v>
      </c>
      <c r="C1" s="3" t="s">
        <v>237</v>
      </c>
    </row>
    <row r="2" s="5" customFormat="1" ht="28" spans="1:3">
      <c r="A2" s="6">
        <v>2026</v>
      </c>
      <c r="B2" s="6" t="s">
        <v>238</v>
      </c>
      <c r="C2" s="6" t="s">
        <v>239</v>
      </c>
    </row>
    <row r="3" spans="1:3">
      <c r="A3" s="2" t="s">
        <v>240</v>
      </c>
      <c r="B3" s="2" t="s">
        <v>241</v>
      </c>
      <c r="C3" s="2" t="s">
        <v>242</v>
      </c>
    </row>
    <row r="4" ht="28" spans="1:3">
      <c r="A4" s="2" t="s">
        <v>240</v>
      </c>
      <c r="B4" s="2" t="s">
        <v>238</v>
      </c>
      <c r="C4" s="2" t="s">
        <v>239</v>
      </c>
    </row>
    <row r="5" ht="28" spans="1:3">
      <c r="A5" s="2" t="s">
        <v>243</v>
      </c>
      <c r="B5" s="2" t="s">
        <v>244</v>
      </c>
      <c r="C5" s="2" t="s">
        <v>59</v>
      </c>
    </row>
    <row r="6" ht="28" spans="1:3">
      <c r="A6" s="2" t="s">
        <v>243</v>
      </c>
      <c r="B6" s="2" t="s">
        <v>245</v>
      </c>
      <c r="C6" s="2" t="s">
        <v>246</v>
      </c>
    </row>
    <row r="7" spans="1:3">
      <c r="A7" s="2" t="s">
        <v>247</v>
      </c>
      <c r="B7" s="2" t="s">
        <v>248</v>
      </c>
      <c r="C7" s="2" t="s">
        <v>249</v>
      </c>
    </row>
    <row r="8" ht="28" spans="1:3">
      <c r="A8" s="2" t="s">
        <v>250</v>
      </c>
      <c r="B8" s="2" t="s">
        <v>245</v>
      </c>
      <c r="C8" s="2" t="s">
        <v>251</v>
      </c>
    </row>
    <row r="9" spans="1:3">
      <c r="A9" s="2" t="s">
        <v>252</v>
      </c>
      <c r="B9" s="2" t="s">
        <v>253</v>
      </c>
      <c r="C9" s="2" t="s">
        <v>254</v>
      </c>
    </row>
    <row r="10" ht="28" spans="1:3">
      <c r="A10" s="2" t="s">
        <v>255</v>
      </c>
      <c r="B10" s="2" t="s">
        <v>245</v>
      </c>
      <c r="C10" s="2" t="s">
        <v>256</v>
      </c>
    </row>
    <row r="11" spans="1:3">
      <c r="A11" s="2" t="s">
        <v>257</v>
      </c>
      <c r="B11" s="2" t="s">
        <v>258</v>
      </c>
      <c r="C11" s="2" t="s">
        <v>259</v>
      </c>
    </row>
    <row r="12" ht="28" spans="1:3">
      <c r="A12" s="2" t="s">
        <v>260</v>
      </c>
      <c r="B12" s="2" t="s">
        <v>261</v>
      </c>
      <c r="C12" s="2" t="s">
        <v>262</v>
      </c>
    </row>
    <row r="13" ht="28" spans="1:3">
      <c r="A13" s="2" t="s">
        <v>260</v>
      </c>
      <c r="B13" s="2" t="s">
        <v>245</v>
      </c>
      <c r="C13" s="2" t="s">
        <v>263</v>
      </c>
    </row>
  </sheetData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"/>
  <sheetViews>
    <sheetView workbookViewId="0">
      <selection activeCell="A1" sqref="A1"/>
    </sheetView>
  </sheetViews>
  <sheetFormatPr defaultColWidth="9" defaultRowHeight="14" outlineLevelCol="6"/>
  <cols>
    <col min="1" max="2" width="18" customWidth="1"/>
    <col min="3" max="3" width="42" customWidth="1"/>
    <col min="4" max="4" width="32" customWidth="1"/>
    <col min="5" max="7" width="18" customWidth="1"/>
  </cols>
  <sheetData>
    <row r="1" spans="1:7">
      <c r="A1" s="3" t="s">
        <v>264</v>
      </c>
      <c r="B1" s="3" t="s">
        <v>265</v>
      </c>
      <c r="C1" s="3" t="s">
        <v>236</v>
      </c>
      <c r="D1" s="3" t="s">
        <v>266</v>
      </c>
      <c r="E1" s="3" t="s">
        <v>267</v>
      </c>
      <c r="F1" s="3" t="s">
        <v>268</v>
      </c>
      <c r="G1" s="3" t="s">
        <v>269</v>
      </c>
    </row>
    <row r="2" ht="42" spans="1:7">
      <c r="A2" s="2" t="s">
        <v>270</v>
      </c>
      <c r="B2" s="2" t="s">
        <v>271</v>
      </c>
      <c r="C2" s="2" t="s">
        <v>272</v>
      </c>
      <c r="D2" s="2" t="s">
        <v>273</v>
      </c>
      <c r="E2" s="2" t="s">
        <v>274</v>
      </c>
      <c r="F2" s="2" t="s">
        <v>275</v>
      </c>
      <c r="G2" s="2" t="s">
        <v>276</v>
      </c>
    </row>
    <row r="3" ht="42" spans="1:7">
      <c r="A3" s="2" t="s">
        <v>277</v>
      </c>
      <c r="B3" s="2" t="s">
        <v>271</v>
      </c>
      <c r="C3" s="2" t="s">
        <v>278</v>
      </c>
      <c r="D3" s="2" t="s">
        <v>273</v>
      </c>
      <c r="E3" s="2" t="s">
        <v>279</v>
      </c>
      <c r="F3" s="2" t="s">
        <v>280</v>
      </c>
      <c r="G3" s="2" t="s">
        <v>281</v>
      </c>
    </row>
    <row r="4" ht="28" spans="1:7">
      <c r="A4" s="2" t="s">
        <v>282</v>
      </c>
      <c r="B4" s="2" t="s">
        <v>271</v>
      </c>
      <c r="C4" s="2" t="s">
        <v>283</v>
      </c>
      <c r="D4" s="2" t="s">
        <v>273</v>
      </c>
      <c r="E4" s="2" t="s">
        <v>284</v>
      </c>
      <c r="F4" s="2" t="s">
        <v>285</v>
      </c>
      <c r="G4" s="2" t="s">
        <v>286</v>
      </c>
    </row>
    <row r="5" ht="28" spans="1:7">
      <c r="A5" s="2" t="s">
        <v>287</v>
      </c>
      <c r="B5" s="2" t="s">
        <v>271</v>
      </c>
      <c r="C5" s="2" t="s">
        <v>288</v>
      </c>
      <c r="D5" s="2" t="s">
        <v>289</v>
      </c>
      <c r="E5" s="2" t="s">
        <v>290</v>
      </c>
      <c r="F5" s="2" t="s">
        <v>291</v>
      </c>
      <c r="G5" s="2" t="s">
        <v>292</v>
      </c>
    </row>
    <row r="6" ht="28" spans="1:7">
      <c r="A6" s="2" t="s">
        <v>293</v>
      </c>
      <c r="B6" s="2" t="s">
        <v>271</v>
      </c>
      <c r="C6" s="2" t="s">
        <v>294</v>
      </c>
      <c r="D6" s="2" t="s">
        <v>295</v>
      </c>
      <c r="E6" s="2" t="s">
        <v>296</v>
      </c>
      <c r="F6" s="2" t="s">
        <v>291</v>
      </c>
      <c r="G6" s="2" t="s">
        <v>297</v>
      </c>
    </row>
    <row r="7" ht="42" spans="1:7">
      <c r="A7" s="2" t="s">
        <v>298</v>
      </c>
      <c r="B7" s="2" t="s">
        <v>271</v>
      </c>
      <c r="C7" s="2" t="s">
        <v>299</v>
      </c>
      <c r="D7" s="2" t="s">
        <v>300</v>
      </c>
      <c r="E7" s="2" t="s">
        <v>301</v>
      </c>
      <c r="F7" s="2" t="s">
        <v>302</v>
      </c>
      <c r="G7" s="2" t="s">
        <v>303</v>
      </c>
    </row>
    <row r="8" ht="28" spans="1:7">
      <c r="A8" s="2" t="s">
        <v>304</v>
      </c>
      <c r="B8" s="2" t="s">
        <v>271</v>
      </c>
      <c r="C8" s="2" t="s">
        <v>305</v>
      </c>
      <c r="D8" s="2" t="s">
        <v>306</v>
      </c>
      <c r="E8" s="2" t="s">
        <v>307</v>
      </c>
      <c r="F8" s="2" t="s">
        <v>308</v>
      </c>
      <c r="G8" s="2" t="s">
        <v>281</v>
      </c>
    </row>
    <row r="9" ht="42" spans="1:7">
      <c r="A9" s="2" t="s">
        <v>309</v>
      </c>
      <c r="B9" s="2" t="s">
        <v>271</v>
      </c>
      <c r="C9" s="2" t="s">
        <v>310</v>
      </c>
      <c r="D9" s="2" t="s">
        <v>311</v>
      </c>
      <c r="E9" s="2" t="s">
        <v>312</v>
      </c>
      <c r="F9" s="2" t="s">
        <v>313</v>
      </c>
      <c r="G9" s="2" t="s">
        <v>314</v>
      </c>
    </row>
    <row r="10" ht="42" spans="1:7">
      <c r="A10" s="2" t="s">
        <v>315</v>
      </c>
      <c r="B10" s="2" t="s">
        <v>271</v>
      </c>
      <c r="C10" s="2" t="s">
        <v>316</v>
      </c>
      <c r="D10" s="2" t="s">
        <v>311</v>
      </c>
      <c r="E10" s="2" t="s">
        <v>317</v>
      </c>
      <c r="F10" s="2" t="s">
        <v>313</v>
      </c>
      <c r="G10" s="2" t="s">
        <v>318</v>
      </c>
    </row>
    <row r="11" ht="28" spans="1:7">
      <c r="A11" s="2" t="s">
        <v>319</v>
      </c>
      <c r="B11" s="2" t="s">
        <v>271</v>
      </c>
      <c r="C11" s="2" t="s">
        <v>320</v>
      </c>
      <c r="D11" s="2" t="s">
        <v>311</v>
      </c>
      <c r="E11" s="2" t="s">
        <v>321</v>
      </c>
      <c r="F11" s="2" t="s">
        <v>313</v>
      </c>
      <c r="G11" s="2" t="s">
        <v>322</v>
      </c>
    </row>
    <row r="12" ht="42" spans="1:7">
      <c r="A12" s="2" t="s">
        <v>323</v>
      </c>
      <c r="B12" s="2" t="s">
        <v>271</v>
      </c>
      <c r="C12" s="2" t="s">
        <v>324</v>
      </c>
      <c r="D12" s="2" t="s">
        <v>325</v>
      </c>
      <c r="E12" s="2" t="s">
        <v>59</v>
      </c>
      <c r="F12" s="2" t="s">
        <v>326</v>
      </c>
      <c r="G12" s="2" t="s">
        <v>327</v>
      </c>
    </row>
    <row r="13" ht="56" spans="1:7">
      <c r="A13" s="2" t="s">
        <v>328</v>
      </c>
      <c r="B13" s="2" t="s">
        <v>329</v>
      </c>
      <c r="C13" s="2" t="s">
        <v>330</v>
      </c>
      <c r="D13" s="2" t="s">
        <v>331</v>
      </c>
      <c r="E13" s="2" t="s">
        <v>332</v>
      </c>
      <c r="F13" s="2" t="s">
        <v>291</v>
      </c>
      <c r="G13" s="2" t="s">
        <v>333</v>
      </c>
    </row>
    <row r="14" ht="42" spans="1:7">
      <c r="A14" s="2" t="s">
        <v>334</v>
      </c>
      <c r="B14" s="2" t="s">
        <v>335</v>
      </c>
      <c r="C14" s="2" t="s">
        <v>336</v>
      </c>
      <c r="D14" s="2" t="s">
        <v>337</v>
      </c>
      <c r="E14" s="2" t="s">
        <v>338</v>
      </c>
      <c r="F14" s="2" t="s">
        <v>339</v>
      </c>
      <c r="G14" s="2" t="s">
        <v>340</v>
      </c>
    </row>
    <row r="15" ht="42" spans="1:7">
      <c r="A15" s="2" t="s">
        <v>341</v>
      </c>
      <c r="B15" s="2" t="s">
        <v>335</v>
      </c>
      <c r="C15" s="2" t="s">
        <v>342</v>
      </c>
      <c r="D15" s="2" t="s">
        <v>300</v>
      </c>
      <c r="E15" s="2" t="s">
        <v>343</v>
      </c>
      <c r="F15" s="2" t="s">
        <v>344</v>
      </c>
      <c r="G15" s="2" t="s">
        <v>345</v>
      </c>
    </row>
    <row r="16" ht="28" spans="1:7">
      <c r="A16" s="2" t="s">
        <v>346</v>
      </c>
      <c r="B16" s="2" t="s">
        <v>335</v>
      </c>
      <c r="C16" s="2" t="s">
        <v>347</v>
      </c>
      <c r="D16" s="2" t="s">
        <v>273</v>
      </c>
      <c r="E16" s="2" t="s">
        <v>348</v>
      </c>
      <c r="F16" s="2" t="s">
        <v>349</v>
      </c>
      <c r="G16" s="2" t="s">
        <v>350</v>
      </c>
    </row>
    <row r="17" ht="28" spans="1:7">
      <c r="A17" s="2" t="s">
        <v>351</v>
      </c>
      <c r="B17" s="2" t="s">
        <v>335</v>
      </c>
      <c r="C17" s="2" t="s">
        <v>352</v>
      </c>
      <c r="D17" s="2" t="s">
        <v>273</v>
      </c>
      <c r="E17" s="2" t="s">
        <v>353</v>
      </c>
      <c r="F17" s="2" t="s">
        <v>354</v>
      </c>
      <c r="G17" s="2" t="s">
        <v>355</v>
      </c>
    </row>
    <row r="18" ht="42" spans="1:7">
      <c r="A18" s="2" t="s">
        <v>356</v>
      </c>
      <c r="B18" s="2" t="s">
        <v>335</v>
      </c>
      <c r="C18" s="2" t="s">
        <v>357</v>
      </c>
      <c r="D18" s="2" t="s">
        <v>358</v>
      </c>
      <c r="E18" s="2" t="s">
        <v>359</v>
      </c>
      <c r="F18" s="2" t="s">
        <v>339</v>
      </c>
      <c r="G18" s="2" t="s">
        <v>360</v>
      </c>
    </row>
    <row r="19" ht="28" spans="1:7">
      <c r="A19" s="2" t="s">
        <v>361</v>
      </c>
      <c r="B19" s="2" t="s">
        <v>335</v>
      </c>
      <c r="C19" s="2" t="s">
        <v>362</v>
      </c>
      <c r="D19" s="2" t="s">
        <v>273</v>
      </c>
      <c r="E19" s="2" t="s">
        <v>363</v>
      </c>
      <c r="F19" s="2" t="s">
        <v>364</v>
      </c>
      <c r="G19" s="2" t="s">
        <v>365</v>
      </c>
    </row>
    <row r="20" ht="28" spans="1:7">
      <c r="A20" s="2" t="s">
        <v>366</v>
      </c>
      <c r="B20" s="2" t="s">
        <v>335</v>
      </c>
      <c r="C20" s="2" t="s">
        <v>367</v>
      </c>
      <c r="D20" s="2" t="s">
        <v>368</v>
      </c>
      <c r="E20" s="2" t="s">
        <v>369</v>
      </c>
      <c r="F20" s="2" t="s">
        <v>370</v>
      </c>
      <c r="G20" s="2" t="s">
        <v>371</v>
      </c>
    </row>
    <row r="21" ht="28" spans="1:7">
      <c r="A21" s="2" t="s">
        <v>372</v>
      </c>
      <c r="B21" s="2" t="s">
        <v>335</v>
      </c>
      <c r="C21" s="2" t="s">
        <v>373</v>
      </c>
      <c r="D21" s="2" t="s">
        <v>311</v>
      </c>
      <c r="E21" s="2" t="s">
        <v>374</v>
      </c>
      <c r="F21" s="2" t="s">
        <v>302</v>
      </c>
      <c r="G21" s="2" t="s">
        <v>375</v>
      </c>
    </row>
    <row r="22" ht="28" spans="1:7">
      <c r="A22" s="2" t="s">
        <v>376</v>
      </c>
      <c r="B22" s="2" t="s">
        <v>335</v>
      </c>
      <c r="C22" s="2" t="s">
        <v>377</v>
      </c>
      <c r="D22" s="2" t="s">
        <v>378</v>
      </c>
      <c r="E22" s="2" t="s">
        <v>379</v>
      </c>
      <c r="F22" s="2" t="s">
        <v>380</v>
      </c>
      <c r="G22" s="2" t="s">
        <v>381</v>
      </c>
    </row>
    <row r="23" ht="28" spans="1:7">
      <c r="A23" s="2" t="s">
        <v>382</v>
      </c>
      <c r="B23" s="2" t="s">
        <v>335</v>
      </c>
      <c r="C23" s="2" t="s">
        <v>383</v>
      </c>
      <c r="D23" s="2" t="s">
        <v>384</v>
      </c>
      <c r="E23" s="2" t="s">
        <v>385</v>
      </c>
      <c r="F23" s="2" t="s">
        <v>386</v>
      </c>
      <c r="G23" s="2" t="s">
        <v>387</v>
      </c>
    </row>
  </sheetData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5"/>
  <sheetViews>
    <sheetView topLeftCell="A44" workbookViewId="0">
      <selection activeCell="A1" sqref="A1"/>
    </sheetView>
  </sheetViews>
  <sheetFormatPr defaultColWidth="9" defaultRowHeight="14" outlineLevelCol="4"/>
  <cols>
    <col min="1" max="2" width="18" customWidth="1"/>
    <col min="3" max="3" width="32" customWidth="1"/>
    <col min="4" max="4" width="42" customWidth="1"/>
    <col min="5" max="5" width="18" customWidth="1"/>
  </cols>
  <sheetData>
    <row r="1" spans="1:5">
      <c r="A1" s="3" t="s">
        <v>1</v>
      </c>
      <c r="B1" s="3" t="s">
        <v>265</v>
      </c>
      <c r="C1" s="3" t="s">
        <v>237</v>
      </c>
      <c r="D1" s="3" t="s">
        <v>388</v>
      </c>
      <c r="E1" s="3" t="s">
        <v>269</v>
      </c>
    </row>
    <row r="2" ht="28" spans="1:5">
      <c r="A2" s="2" t="s">
        <v>389</v>
      </c>
      <c r="B2" s="2" t="s">
        <v>390</v>
      </c>
      <c r="C2" s="2" t="s">
        <v>391</v>
      </c>
      <c r="D2" s="2" t="s">
        <v>391</v>
      </c>
      <c r="E2" s="2" t="s">
        <v>392</v>
      </c>
    </row>
    <row r="3" ht="56" spans="1:5">
      <c r="A3" s="2" t="s">
        <v>389</v>
      </c>
      <c r="B3" s="2" t="s">
        <v>393</v>
      </c>
      <c r="C3" s="2" t="s">
        <v>394</v>
      </c>
      <c r="D3" s="2" t="s">
        <v>394</v>
      </c>
      <c r="E3" s="2" t="s">
        <v>395</v>
      </c>
    </row>
    <row r="4" ht="28" spans="1:5">
      <c r="A4" s="2" t="s">
        <v>389</v>
      </c>
      <c r="B4" s="2" t="s">
        <v>393</v>
      </c>
      <c r="C4" s="2" t="s">
        <v>396</v>
      </c>
      <c r="D4" s="2" t="s">
        <v>396</v>
      </c>
      <c r="E4" s="2" t="s">
        <v>397</v>
      </c>
    </row>
    <row r="5" ht="70" spans="1:5">
      <c r="A5" s="2" t="s">
        <v>389</v>
      </c>
      <c r="B5" s="2" t="s">
        <v>398</v>
      </c>
      <c r="C5" s="2" t="s">
        <v>399</v>
      </c>
      <c r="D5" s="2" t="s">
        <v>399</v>
      </c>
      <c r="E5" s="2" t="s">
        <v>400</v>
      </c>
    </row>
    <row r="6" ht="28" spans="1:5">
      <c r="A6" s="2" t="s">
        <v>389</v>
      </c>
      <c r="B6" s="2" t="s">
        <v>393</v>
      </c>
      <c r="C6" s="2" t="s">
        <v>401</v>
      </c>
      <c r="D6" s="2" t="s">
        <v>401</v>
      </c>
      <c r="E6" s="2" t="s">
        <v>402</v>
      </c>
    </row>
    <row r="7" ht="42" spans="1:5">
      <c r="A7" s="2" t="s">
        <v>389</v>
      </c>
      <c r="B7" s="2" t="s">
        <v>403</v>
      </c>
      <c r="C7" s="2" t="s">
        <v>404</v>
      </c>
      <c r="D7" s="2" t="s">
        <v>404</v>
      </c>
      <c r="E7" s="2" t="s">
        <v>397</v>
      </c>
    </row>
    <row r="8" ht="42" spans="1:5">
      <c r="A8" s="2" t="s">
        <v>389</v>
      </c>
      <c r="B8" s="2" t="s">
        <v>405</v>
      </c>
      <c r="C8" s="2" t="s">
        <v>406</v>
      </c>
      <c r="D8" s="2" t="s">
        <v>406</v>
      </c>
      <c r="E8" s="2" t="s">
        <v>407</v>
      </c>
    </row>
    <row r="9" spans="1:5">
      <c r="A9" s="2" t="s">
        <v>389</v>
      </c>
      <c r="B9" s="2" t="s">
        <v>408</v>
      </c>
      <c r="C9" s="2" t="s">
        <v>409</v>
      </c>
      <c r="D9" s="2" t="s">
        <v>409</v>
      </c>
      <c r="E9" s="2" t="s">
        <v>410</v>
      </c>
    </row>
    <row r="10" ht="28" spans="1:5">
      <c r="A10" s="2" t="s">
        <v>389</v>
      </c>
      <c r="B10" s="2" t="s">
        <v>411</v>
      </c>
      <c r="C10" s="2" t="s">
        <v>412</v>
      </c>
      <c r="D10" s="2" t="s">
        <v>412</v>
      </c>
      <c r="E10" s="2" t="s">
        <v>392</v>
      </c>
    </row>
    <row r="11" ht="28" spans="1:5">
      <c r="A11" s="2" t="s">
        <v>389</v>
      </c>
      <c r="B11" s="2" t="s">
        <v>413</v>
      </c>
      <c r="C11" s="2" t="s">
        <v>396</v>
      </c>
      <c r="D11" s="2" t="s">
        <v>396</v>
      </c>
      <c r="E11" s="2" t="s">
        <v>414</v>
      </c>
    </row>
    <row r="12" ht="42" spans="1:5">
      <c r="A12" s="2" t="s">
        <v>389</v>
      </c>
      <c r="B12" s="2" t="s">
        <v>413</v>
      </c>
      <c r="C12" s="2" t="s">
        <v>415</v>
      </c>
      <c r="D12" s="2" t="s">
        <v>415</v>
      </c>
      <c r="E12" s="2" t="s">
        <v>416</v>
      </c>
    </row>
    <row r="13" spans="1:5">
      <c r="A13" s="2" t="s">
        <v>389</v>
      </c>
      <c r="B13" s="2" t="s">
        <v>413</v>
      </c>
      <c r="C13" s="2" t="s">
        <v>417</v>
      </c>
      <c r="D13" s="2" t="s">
        <v>417</v>
      </c>
      <c r="E13" s="2" t="s">
        <v>418</v>
      </c>
    </row>
    <row r="14" ht="28" spans="1:5">
      <c r="A14" s="2" t="s">
        <v>389</v>
      </c>
      <c r="B14" s="2" t="s">
        <v>393</v>
      </c>
      <c r="C14" s="2" t="s">
        <v>419</v>
      </c>
      <c r="D14" s="2" t="s">
        <v>419</v>
      </c>
      <c r="E14" s="2" t="s">
        <v>420</v>
      </c>
    </row>
    <row r="15" ht="28" spans="1:5">
      <c r="A15" s="2" t="s">
        <v>389</v>
      </c>
      <c r="B15" s="2" t="s">
        <v>393</v>
      </c>
      <c r="C15" s="2" t="s">
        <v>421</v>
      </c>
      <c r="D15" s="2" t="s">
        <v>421</v>
      </c>
      <c r="E15" s="2" t="s">
        <v>422</v>
      </c>
    </row>
    <row r="16" spans="1:5">
      <c r="A16" s="2" t="s">
        <v>389</v>
      </c>
      <c r="B16" s="2" t="s">
        <v>393</v>
      </c>
      <c r="C16" s="2" t="s">
        <v>423</v>
      </c>
      <c r="D16" s="2" t="s">
        <v>423</v>
      </c>
      <c r="E16" s="2" t="s">
        <v>424</v>
      </c>
    </row>
    <row r="17" ht="84" spans="1:5">
      <c r="A17" s="2" t="s">
        <v>389</v>
      </c>
      <c r="B17" s="2" t="s">
        <v>425</v>
      </c>
      <c r="C17" s="2" t="s">
        <v>415</v>
      </c>
      <c r="D17" s="2" t="s">
        <v>415</v>
      </c>
      <c r="E17" s="2" t="s">
        <v>426</v>
      </c>
    </row>
    <row r="18" ht="28" spans="1:5">
      <c r="A18" s="2" t="s">
        <v>389</v>
      </c>
      <c r="B18" s="2" t="s">
        <v>427</v>
      </c>
      <c r="C18" s="2" t="s">
        <v>428</v>
      </c>
      <c r="D18" s="2" t="s">
        <v>428</v>
      </c>
      <c r="E18" s="2" t="s">
        <v>429</v>
      </c>
    </row>
    <row r="19" ht="28" spans="1:5">
      <c r="A19" s="2" t="s">
        <v>389</v>
      </c>
      <c r="B19" s="2" t="s">
        <v>427</v>
      </c>
      <c r="C19" s="2" t="s">
        <v>430</v>
      </c>
      <c r="D19" s="2" t="s">
        <v>430</v>
      </c>
      <c r="E19" s="2" t="s">
        <v>431</v>
      </c>
    </row>
    <row r="20" spans="1:5">
      <c r="A20" s="2" t="s">
        <v>389</v>
      </c>
      <c r="B20" s="2" t="s">
        <v>432</v>
      </c>
      <c r="C20" s="2" t="s">
        <v>423</v>
      </c>
      <c r="D20" s="2" t="s">
        <v>423</v>
      </c>
      <c r="E20" s="2" t="s">
        <v>433</v>
      </c>
    </row>
    <row r="21" ht="28" spans="1:5">
      <c r="A21" s="2" t="s">
        <v>389</v>
      </c>
      <c r="B21" s="2" t="s">
        <v>425</v>
      </c>
      <c r="C21" s="2" t="s">
        <v>434</v>
      </c>
      <c r="D21" s="2" t="s">
        <v>434</v>
      </c>
      <c r="E21" s="2" t="s">
        <v>435</v>
      </c>
    </row>
    <row r="22" ht="28" spans="1:5">
      <c r="A22" s="2" t="s">
        <v>389</v>
      </c>
      <c r="B22" s="2" t="s">
        <v>390</v>
      </c>
      <c r="C22" s="2" t="s">
        <v>436</v>
      </c>
      <c r="D22" s="2" t="s">
        <v>436</v>
      </c>
      <c r="E22" s="2" t="s">
        <v>437</v>
      </c>
    </row>
    <row r="23" ht="70" spans="1:5">
      <c r="A23" s="2" t="s">
        <v>389</v>
      </c>
      <c r="B23" s="2" t="s">
        <v>438</v>
      </c>
      <c r="C23" s="2" t="s">
        <v>439</v>
      </c>
      <c r="D23" s="2" t="s">
        <v>439</v>
      </c>
      <c r="E23" s="2" t="s">
        <v>59</v>
      </c>
    </row>
    <row r="24" ht="28" spans="1:5">
      <c r="A24" s="2" t="s">
        <v>440</v>
      </c>
      <c r="B24" s="2" t="s">
        <v>59</v>
      </c>
      <c r="C24" s="2" t="s">
        <v>59</v>
      </c>
      <c r="D24" s="2" t="s">
        <v>441</v>
      </c>
      <c r="E24" s="2" t="s">
        <v>59</v>
      </c>
    </row>
    <row r="25" ht="28" spans="1:5">
      <c r="A25" s="2" t="s">
        <v>440</v>
      </c>
      <c r="B25" s="2" t="s">
        <v>59</v>
      </c>
      <c r="C25" s="2" t="s">
        <v>59</v>
      </c>
      <c r="D25" s="2" t="s">
        <v>442</v>
      </c>
      <c r="E25" s="2" t="s">
        <v>59</v>
      </c>
    </row>
    <row r="26" ht="28" spans="1:5">
      <c r="A26" s="2" t="s">
        <v>440</v>
      </c>
      <c r="B26" s="2" t="s">
        <v>59</v>
      </c>
      <c r="C26" s="2" t="s">
        <v>59</v>
      </c>
      <c r="D26" s="2" t="s">
        <v>443</v>
      </c>
      <c r="E26" s="2" t="s">
        <v>59</v>
      </c>
    </row>
    <row r="27" ht="28" spans="1:5">
      <c r="A27" s="2" t="s">
        <v>440</v>
      </c>
      <c r="B27" s="2" t="s">
        <v>59</v>
      </c>
      <c r="C27" s="2" t="s">
        <v>59</v>
      </c>
      <c r="D27" s="2" t="s">
        <v>444</v>
      </c>
      <c r="E27" s="2" t="s">
        <v>59</v>
      </c>
    </row>
    <row r="28" ht="28" spans="1:5">
      <c r="A28" s="2" t="s">
        <v>440</v>
      </c>
      <c r="B28" s="2" t="s">
        <v>59</v>
      </c>
      <c r="C28" s="2" t="s">
        <v>59</v>
      </c>
      <c r="D28" s="2" t="s">
        <v>445</v>
      </c>
      <c r="E28" s="2" t="s">
        <v>59</v>
      </c>
    </row>
    <row r="29" ht="28" spans="1:5">
      <c r="A29" s="2" t="s">
        <v>440</v>
      </c>
      <c r="B29" s="2" t="s">
        <v>59</v>
      </c>
      <c r="C29" s="2" t="s">
        <v>59</v>
      </c>
      <c r="D29" s="2" t="s">
        <v>446</v>
      </c>
      <c r="E29" s="2" t="s">
        <v>59</v>
      </c>
    </row>
    <row r="30" ht="28" spans="1:5">
      <c r="A30" s="2" t="s">
        <v>440</v>
      </c>
      <c r="B30" s="2" t="s">
        <v>59</v>
      </c>
      <c r="C30" s="2" t="s">
        <v>59</v>
      </c>
      <c r="D30" s="2" t="s">
        <v>447</v>
      </c>
      <c r="E30" s="2" t="s">
        <v>59</v>
      </c>
    </row>
    <row r="31" ht="28" spans="1:5">
      <c r="A31" s="2" t="s">
        <v>440</v>
      </c>
      <c r="B31" s="2" t="s">
        <v>59</v>
      </c>
      <c r="C31" s="2" t="s">
        <v>59</v>
      </c>
      <c r="D31" s="2" t="s">
        <v>448</v>
      </c>
      <c r="E31" s="2" t="s">
        <v>59</v>
      </c>
    </row>
    <row r="32" ht="28" spans="1:5">
      <c r="A32" s="2" t="s">
        <v>440</v>
      </c>
      <c r="B32" s="2" t="s">
        <v>59</v>
      </c>
      <c r="C32" s="2" t="s">
        <v>59</v>
      </c>
      <c r="D32" s="2" t="s">
        <v>449</v>
      </c>
      <c r="E32" s="2" t="s">
        <v>59</v>
      </c>
    </row>
    <row r="33" ht="28" spans="1:5">
      <c r="A33" s="2" t="s">
        <v>440</v>
      </c>
      <c r="B33" s="2" t="s">
        <v>59</v>
      </c>
      <c r="C33" s="2" t="s">
        <v>59</v>
      </c>
      <c r="D33" s="2" t="s">
        <v>450</v>
      </c>
      <c r="E33" s="2" t="s">
        <v>59</v>
      </c>
    </row>
    <row r="34" ht="42" spans="1:5">
      <c r="A34" s="2" t="s">
        <v>440</v>
      </c>
      <c r="B34" s="2" t="s">
        <v>59</v>
      </c>
      <c r="C34" s="2" t="s">
        <v>59</v>
      </c>
      <c r="D34" s="2" t="s">
        <v>451</v>
      </c>
      <c r="E34" s="2" t="s">
        <v>59</v>
      </c>
    </row>
    <row r="35" ht="28" spans="1:5">
      <c r="A35" s="2" t="s">
        <v>440</v>
      </c>
      <c r="B35" s="2" t="s">
        <v>59</v>
      </c>
      <c r="C35" s="2" t="s">
        <v>59</v>
      </c>
      <c r="D35" s="2" t="s">
        <v>452</v>
      </c>
      <c r="E35" s="2" t="s">
        <v>59</v>
      </c>
    </row>
    <row r="36" ht="28" spans="1:5">
      <c r="A36" s="2" t="s">
        <v>440</v>
      </c>
      <c r="B36" s="2" t="s">
        <v>59</v>
      </c>
      <c r="C36" s="2" t="s">
        <v>59</v>
      </c>
      <c r="D36" s="2" t="s">
        <v>453</v>
      </c>
      <c r="E36" s="2" t="s">
        <v>59</v>
      </c>
    </row>
    <row r="37" ht="28" spans="1:5">
      <c r="A37" s="2" t="s">
        <v>440</v>
      </c>
      <c r="B37" s="2" t="s">
        <v>59</v>
      </c>
      <c r="C37" s="2" t="s">
        <v>59</v>
      </c>
      <c r="D37" s="2" t="s">
        <v>454</v>
      </c>
      <c r="E37" s="2" t="s">
        <v>59</v>
      </c>
    </row>
    <row r="38" ht="42" spans="1:5">
      <c r="A38" s="2" t="s">
        <v>440</v>
      </c>
      <c r="B38" s="2" t="s">
        <v>59</v>
      </c>
      <c r="C38" s="2" t="s">
        <v>59</v>
      </c>
      <c r="D38" s="2" t="s">
        <v>455</v>
      </c>
      <c r="E38" s="2" t="s">
        <v>59</v>
      </c>
    </row>
    <row r="39" ht="28" spans="1:5">
      <c r="A39" s="2" t="s">
        <v>456</v>
      </c>
      <c r="B39" s="2" t="s">
        <v>59</v>
      </c>
      <c r="C39" s="2" t="s">
        <v>59</v>
      </c>
      <c r="D39" s="2" t="s">
        <v>457</v>
      </c>
      <c r="E39" s="2" t="s">
        <v>59</v>
      </c>
    </row>
    <row r="40" ht="28" spans="1:5">
      <c r="A40" s="2" t="s">
        <v>456</v>
      </c>
      <c r="B40" s="2" t="s">
        <v>59</v>
      </c>
      <c r="C40" s="2" t="s">
        <v>59</v>
      </c>
      <c r="D40" s="2" t="s">
        <v>458</v>
      </c>
      <c r="E40" s="2" t="s">
        <v>59</v>
      </c>
    </row>
    <row r="41" ht="28" spans="1:5">
      <c r="A41" s="2" t="s">
        <v>456</v>
      </c>
      <c r="B41" s="2" t="s">
        <v>59</v>
      </c>
      <c r="C41" s="2" t="s">
        <v>59</v>
      </c>
      <c r="D41" s="2" t="s">
        <v>459</v>
      </c>
      <c r="E41" s="2" t="s">
        <v>59</v>
      </c>
    </row>
    <row r="42" ht="28" spans="1:5">
      <c r="A42" s="2" t="s">
        <v>456</v>
      </c>
      <c r="B42" s="2" t="s">
        <v>59</v>
      </c>
      <c r="C42" s="2" t="s">
        <v>59</v>
      </c>
      <c r="D42" s="2" t="s">
        <v>412</v>
      </c>
      <c r="E42" s="2" t="s">
        <v>59</v>
      </c>
    </row>
    <row r="43" ht="28" spans="1:5">
      <c r="A43" s="2" t="s">
        <v>456</v>
      </c>
      <c r="B43" s="2" t="s">
        <v>59</v>
      </c>
      <c r="C43" s="2" t="s">
        <v>59</v>
      </c>
      <c r="D43" s="2" t="s">
        <v>460</v>
      </c>
      <c r="E43" s="2" t="s">
        <v>59</v>
      </c>
    </row>
    <row r="44" ht="28" spans="1:5">
      <c r="A44" s="2" t="s">
        <v>456</v>
      </c>
      <c r="B44" s="2" t="s">
        <v>59</v>
      </c>
      <c r="C44" s="2" t="s">
        <v>59</v>
      </c>
      <c r="D44" s="2" t="s">
        <v>461</v>
      </c>
      <c r="E44" s="2" t="s">
        <v>59</v>
      </c>
    </row>
    <row r="45" ht="28" spans="1:5">
      <c r="A45" s="2" t="s">
        <v>456</v>
      </c>
      <c r="B45" s="2" t="s">
        <v>59</v>
      </c>
      <c r="C45" s="2" t="s">
        <v>59</v>
      </c>
      <c r="D45" s="2" t="s">
        <v>462</v>
      </c>
      <c r="E45" s="2" t="s">
        <v>59</v>
      </c>
    </row>
    <row r="46" ht="28" spans="1:5">
      <c r="A46" s="2" t="s">
        <v>456</v>
      </c>
      <c r="B46" s="2" t="s">
        <v>59</v>
      </c>
      <c r="C46" s="2" t="s">
        <v>59</v>
      </c>
      <c r="D46" s="2" t="s">
        <v>463</v>
      </c>
      <c r="E46" s="2" t="s">
        <v>59</v>
      </c>
    </row>
    <row r="47" ht="28" spans="1:5">
      <c r="A47" s="2" t="s">
        <v>456</v>
      </c>
      <c r="B47" s="2" t="s">
        <v>59</v>
      </c>
      <c r="C47" s="2" t="s">
        <v>59</v>
      </c>
      <c r="D47" s="2" t="s">
        <v>464</v>
      </c>
      <c r="E47" s="2" t="s">
        <v>59</v>
      </c>
    </row>
    <row r="48" ht="28" spans="1:5">
      <c r="A48" s="2" t="s">
        <v>456</v>
      </c>
      <c r="B48" s="2" t="s">
        <v>59</v>
      </c>
      <c r="C48" s="2" t="s">
        <v>59</v>
      </c>
      <c r="D48" s="2" t="s">
        <v>465</v>
      </c>
      <c r="E48" s="2" t="s">
        <v>59</v>
      </c>
    </row>
    <row r="49" ht="28" spans="1:5">
      <c r="A49" s="2" t="s">
        <v>456</v>
      </c>
      <c r="B49" s="2" t="s">
        <v>59</v>
      </c>
      <c r="C49" s="2" t="s">
        <v>59</v>
      </c>
      <c r="D49" s="2" t="s">
        <v>466</v>
      </c>
      <c r="E49" s="2" t="s">
        <v>59</v>
      </c>
    </row>
    <row r="50" ht="28" spans="1:5">
      <c r="A50" s="2" t="s">
        <v>456</v>
      </c>
      <c r="B50" s="2" t="s">
        <v>59</v>
      </c>
      <c r="C50" s="2" t="s">
        <v>59</v>
      </c>
      <c r="D50" s="2" t="s">
        <v>467</v>
      </c>
      <c r="E50" s="2" t="s">
        <v>59</v>
      </c>
    </row>
    <row r="51" ht="28" spans="1:5">
      <c r="A51" s="2" t="s">
        <v>456</v>
      </c>
      <c r="B51" s="2" t="s">
        <v>59</v>
      </c>
      <c r="C51" s="2" t="s">
        <v>59</v>
      </c>
      <c r="D51" s="2" t="s">
        <v>468</v>
      </c>
      <c r="E51" s="2" t="s">
        <v>59</v>
      </c>
    </row>
    <row r="52" ht="28" spans="1:5">
      <c r="A52" s="2" t="s">
        <v>456</v>
      </c>
      <c r="B52" s="2" t="s">
        <v>59</v>
      </c>
      <c r="C52" s="2" t="s">
        <v>59</v>
      </c>
      <c r="D52" s="2" t="s">
        <v>469</v>
      </c>
      <c r="E52" s="2" t="s">
        <v>59</v>
      </c>
    </row>
    <row r="53" ht="28" spans="1:5">
      <c r="A53" s="2" t="s">
        <v>456</v>
      </c>
      <c r="B53" s="2" t="s">
        <v>59</v>
      </c>
      <c r="C53" s="2" t="s">
        <v>59</v>
      </c>
      <c r="D53" s="2" t="s">
        <v>470</v>
      </c>
      <c r="E53" s="2" t="s">
        <v>59</v>
      </c>
    </row>
    <row r="54" ht="28" spans="1:5">
      <c r="A54" s="2" t="s">
        <v>456</v>
      </c>
      <c r="B54" s="2" t="s">
        <v>59</v>
      </c>
      <c r="C54" s="2" t="s">
        <v>59</v>
      </c>
      <c r="D54" s="2" t="s">
        <v>471</v>
      </c>
      <c r="E54" s="2" t="s">
        <v>59</v>
      </c>
    </row>
    <row r="55" ht="28" spans="1:5">
      <c r="A55" s="2" t="s">
        <v>456</v>
      </c>
      <c r="B55" s="2" t="s">
        <v>59</v>
      </c>
      <c r="C55" s="2" t="s">
        <v>59</v>
      </c>
      <c r="D55" s="2" t="s">
        <v>472</v>
      </c>
      <c r="E55" s="2" t="s">
        <v>59</v>
      </c>
    </row>
    <row r="56" ht="28" spans="1:5">
      <c r="A56" s="2" t="s">
        <v>456</v>
      </c>
      <c r="B56" s="2" t="s">
        <v>59</v>
      </c>
      <c r="C56" s="2" t="s">
        <v>59</v>
      </c>
      <c r="D56" s="2" t="s">
        <v>473</v>
      </c>
      <c r="E56" s="2" t="s">
        <v>59</v>
      </c>
    </row>
    <row r="57" ht="28" spans="1:5">
      <c r="A57" s="2" t="s">
        <v>456</v>
      </c>
      <c r="B57" s="2" t="s">
        <v>59</v>
      </c>
      <c r="C57" s="2" t="s">
        <v>59</v>
      </c>
      <c r="D57" s="2" t="s">
        <v>474</v>
      </c>
      <c r="E57" s="2" t="s">
        <v>59</v>
      </c>
    </row>
    <row r="58" ht="28" spans="1:5">
      <c r="A58" s="2" t="s">
        <v>456</v>
      </c>
      <c r="B58" s="2" t="s">
        <v>59</v>
      </c>
      <c r="C58" s="2" t="s">
        <v>59</v>
      </c>
      <c r="D58" s="2" t="s">
        <v>475</v>
      </c>
      <c r="E58" s="2" t="s">
        <v>59</v>
      </c>
    </row>
    <row r="59" ht="28" spans="1:5">
      <c r="A59" s="2" t="s">
        <v>456</v>
      </c>
      <c r="B59" s="2" t="s">
        <v>59</v>
      </c>
      <c r="C59" s="2" t="s">
        <v>59</v>
      </c>
      <c r="D59" s="2" t="s">
        <v>476</v>
      </c>
      <c r="E59" s="2" t="s">
        <v>59</v>
      </c>
    </row>
    <row r="60" ht="28" spans="1:5">
      <c r="A60" s="2" t="s">
        <v>456</v>
      </c>
      <c r="B60" s="2" t="s">
        <v>59</v>
      </c>
      <c r="C60" s="2" t="s">
        <v>59</v>
      </c>
      <c r="D60" s="2" t="s">
        <v>477</v>
      </c>
      <c r="E60" s="2" t="s">
        <v>59</v>
      </c>
    </row>
    <row r="61" ht="28" spans="1:5">
      <c r="A61" s="2" t="s">
        <v>456</v>
      </c>
      <c r="B61" s="2" t="s">
        <v>59</v>
      </c>
      <c r="C61" s="2" t="s">
        <v>59</v>
      </c>
      <c r="D61" s="2" t="s">
        <v>478</v>
      </c>
      <c r="E61" s="2" t="s">
        <v>59</v>
      </c>
    </row>
    <row r="62" ht="28" spans="1:5">
      <c r="A62" s="2" t="s">
        <v>456</v>
      </c>
      <c r="B62" s="2" t="s">
        <v>59</v>
      </c>
      <c r="C62" s="2" t="s">
        <v>59</v>
      </c>
      <c r="D62" s="2" t="s">
        <v>479</v>
      </c>
      <c r="E62" s="2" t="s">
        <v>59</v>
      </c>
    </row>
    <row r="63" ht="28" spans="1:5">
      <c r="A63" s="2" t="s">
        <v>456</v>
      </c>
      <c r="B63" s="2" t="s">
        <v>59</v>
      </c>
      <c r="C63" s="2" t="s">
        <v>59</v>
      </c>
      <c r="D63" s="2" t="s">
        <v>480</v>
      </c>
      <c r="E63" s="2" t="s">
        <v>59</v>
      </c>
    </row>
    <row r="64" ht="28" spans="1:5">
      <c r="A64" s="2" t="s">
        <v>456</v>
      </c>
      <c r="B64" s="2" t="s">
        <v>59</v>
      </c>
      <c r="C64" s="2" t="s">
        <v>59</v>
      </c>
      <c r="D64" s="2" t="s">
        <v>481</v>
      </c>
      <c r="E64" s="2" t="s">
        <v>59</v>
      </c>
    </row>
    <row r="65" ht="28" spans="1:5">
      <c r="A65" s="2" t="s">
        <v>456</v>
      </c>
      <c r="B65" s="2" t="s">
        <v>59</v>
      </c>
      <c r="C65" s="2" t="s">
        <v>59</v>
      </c>
      <c r="D65" s="2" t="s">
        <v>482</v>
      </c>
      <c r="E65" s="2" t="s">
        <v>59</v>
      </c>
    </row>
    <row r="66" ht="28" spans="1:5">
      <c r="A66" s="2" t="s">
        <v>456</v>
      </c>
      <c r="B66" s="2" t="s">
        <v>59</v>
      </c>
      <c r="C66" s="2" t="s">
        <v>59</v>
      </c>
      <c r="D66" s="2" t="s">
        <v>483</v>
      </c>
      <c r="E66" s="2" t="s">
        <v>59</v>
      </c>
    </row>
    <row r="67" ht="28" spans="1:5">
      <c r="A67" s="2" t="s">
        <v>456</v>
      </c>
      <c r="B67" s="2" t="s">
        <v>59</v>
      </c>
      <c r="C67" s="2" t="s">
        <v>59</v>
      </c>
      <c r="D67" s="2" t="s">
        <v>484</v>
      </c>
      <c r="E67" s="2" t="s">
        <v>59</v>
      </c>
    </row>
    <row r="68" ht="28" spans="1:5">
      <c r="A68" s="2" t="s">
        <v>456</v>
      </c>
      <c r="B68" s="2" t="s">
        <v>59</v>
      </c>
      <c r="C68" s="2" t="s">
        <v>59</v>
      </c>
      <c r="D68" s="2" t="s">
        <v>485</v>
      </c>
      <c r="E68" s="2" t="s">
        <v>59</v>
      </c>
    </row>
    <row r="69" ht="28" spans="1:5">
      <c r="A69" s="2" t="s">
        <v>456</v>
      </c>
      <c r="B69" s="2" t="s">
        <v>59</v>
      </c>
      <c r="C69" s="2" t="s">
        <v>59</v>
      </c>
      <c r="D69" s="2" t="s">
        <v>486</v>
      </c>
      <c r="E69" s="2" t="s">
        <v>59</v>
      </c>
    </row>
    <row r="70" ht="28" spans="1:5">
      <c r="A70" s="2" t="s">
        <v>456</v>
      </c>
      <c r="B70" s="2" t="s">
        <v>59</v>
      </c>
      <c r="C70" s="2" t="s">
        <v>59</v>
      </c>
      <c r="D70" s="2" t="s">
        <v>394</v>
      </c>
      <c r="E70" s="2" t="s">
        <v>59</v>
      </c>
    </row>
    <row r="71" ht="28" spans="1:5">
      <c r="A71" s="2" t="s">
        <v>456</v>
      </c>
      <c r="B71" s="2" t="s">
        <v>59</v>
      </c>
      <c r="C71" s="2" t="s">
        <v>59</v>
      </c>
      <c r="D71" s="2" t="s">
        <v>487</v>
      </c>
      <c r="E71" s="2" t="s">
        <v>59</v>
      </c>
    </row>
    <row r="72" ht="28" spans="1:5">
      <c r="A72" s="2" t="s">
        <v>456</v>
      </c>
      <c r="B72" s="2" t="s">
        <v>59</v>
      </c>
      <c r="C72" s="2" t="s">
        <v>59</v>
      </c>
      <c r="D72" s="2" t="s">
        <v>488</v>
      </c>
      <c r="E72" s="2" t="s">
        <v>59</v>
      </c>
    </row>
    <row r="73" ht="28" spans="1:5">
      <c r="A73" s="2" t="s">
        <v>456</v>
      </c>
      <c r="B73" s="2" t="s">
        <v>59</v>
      </c>
      <c r="C73" s="2" t="s">
        <v>59</v>
      </c>
      <c r="D73" s="2" t="s">
        <v>489</v>
      </c>
      <c r="E73" s="2" t="s">
        <v>59</v>
      </c>
    </row>
    <row r="74" ht="28" spans="1:5">
      <c r="A74" s="2" t="s">
        <v>456</v>
      </c>
      <c r="B74" s="2" t="s">
        <v>59</v>
      </c>
      <c r="C74" s="2" t="s">
        <v>59</v>
      </c>
      <c r="D74" s="2" t="s">
        <v>490</v>
      </c>
      <c r="E74" s="2" t="s">
        <v>59</v>
      </c>
    </row>
    <row r="75" ht="28" spans="1:5">
      <c r="A75" s="2" t="s">
        <v>456</v>
      </c>
      <c r="B75" s="2" t="s">
        <v>59</v>
      </c>
      <c r="C75" s="2" t="s">
        <v>59</v>
      </c>
      <c r="D75" s="2" t="s">
        <v>491</v>
      </c>
      <c r="E75" s="2" t="s">
        <v>59</v>
      </c>
    </row>
    <row r="76" ht="28" spans="1:5">
      <c r="A76" s="2" t="s">
        <v>456</v>
      </c>
      <c r="B76" s="2" t="s">
        <v>59</v>
      </c>
      <c r="C76" s="2" t="s">
        <v>59</v>
      </c>
      <c r="D76" s="2" t="s">
        <v>492</v>
      </c>
      <c r="E76" s="2" t="s">
        <v>59</v>
      </c>
    </row>
    <row r="77" ht="28" spans="1:5">
      <c r="A77" s="2" t="s">
        <v>456</v>
      </c>
      <c r="B77" s="2" t="s">
        <v>59</v>
      </c>
      <c r="C77" s="2" t="s">
        <v>59</v>
      </c>
      <c r="D77" s="2" t="s">
        <v>493</v>
      </c>
      <c r="E77" s="2" t="s">
        <v>59</v>
      </c>
    </row>
    <row r="78" ht="28" spans="1:5">
      <c r="A78" s="2" t="s">
        <v>456</v>
      </c>
      <c r="B78" s="2" t="s">
        <v>59</v>
      </c>
      <c r="C78" s="2" t="s">
        <v>59</v>
      </c>
      <c r="D78" s="2" t="s">
        <v>494</v>
      </c>
      <c r="E78" s="2" t="s">
        <v>59</v>
      </c>
    </row>
    <row r="79" ht="28" spans="1:5">
      <c r="A79" s="2" t="s">
        <v>456</v>
      </c>
      <c r="B79" s="2" t="s">
        <v>59</v>
      </c>
      <c r="C79" s="2" t="s">
        <v>59</v>
      </c>
      <c r="D79" s="2" t="s">
        <v>495</v>
      </c>
      <c r="E79" s="2" t="s">
        <v>59</v>
      </c>
    </row>
    <row r="80" ht="28" spans="1:5">
      <c r="A80" s="2" t="s">
        <v>456</v>
      </c>
      <c r="B80" s="2" t="s">
        <v>59</v>
      </c>
      <c r="C80" s="2" t="s">
        <v>59</v>
      </c>
      <c r="D80" s="2" t="s">
        <v>496</v>
      </c>
      <c r="E80" s="2" t="s">
        <v>59</v>
      </c>
    </row>
    <row r="81" ht="28" spans="1:5">
      <c r="A81" s="2" t="s">
        <v>456</v>
      </c>
      <c r="B81" s="2" t="s">
        <v>59</v>
      </c>
      <c r="C81" s="2" t="s">
        <v>59</v>
      </c>
      <c r="D81" s="2" t="s">
        <v>497</v>
      </c>
      <c r="E81" s="2" t="s">
        <v>59</v>
      </c>
    </row>
    <row r="82" ht="28" spans="1:5">
      <c r="A82" s="2" t="s">
        <v>456</v>
      </c>
      <c r="B82" s="2" t="s">
        <v>59</v>
      </c>
      <c r="C82" s="2" t="s">
        <v>59</v>
      </c>
      <c r="D82" s="2" t="s">
        <v>498</v>
      </c>
      <c r="E82" s="2" t="s">
        <v>59</v>
      </c>
    </row>
    <row r="83" ht="28" spans="1:5">
      <c r="A83" s="2" t="s">
        <v>456</v>
      </c>
      <c r="B83" s="2" t="s">
        <v>59</v>
      </c>
      <c r="C83" s="2" t="s">
        <v>59</v>
      </c>
      <c r="D83" s="2" t="s">
        <v>499</v>
      </c>
      <c r="E83" s="2" t="s">
        <v>59</v>
      </c>
    </row>
    <row r="84" ht="28" spans="1:5">
      <c r="A84" s="2" t="s">
        <v>456</v>
      </c>
      <c r="B84" s="2" t="s">
        <v>59</v>
      </c>
      <c r="C84" s="2" t="s">
        <v>59</v>
      </c>
      <c r="D84" s="2" t="s">
        <v>500</v>
      </c>
      <c r="E84" s="2" t="s">
        <v>59</v>
      </c>
    </row>
    <row r="85" ht="28" spans="1:5">
      <c r="A85" s="2" t="s">
        <v>456</v>
      </c>
      <c r="B85" s="2" t="s">
        <v>59</v>
      </c>
      <c r="C85" s="2" t="s">
        <v>59</v>
      </c>
      <c r="D85" s="2" t="s">
        <v>501</v>
      </c>
      <c r="E85" s="2" t="s">
        <v>59</v>
      </c>
    </row>
    <row r="86" ht="28" spans="1:5">
      <c r="A86" s="2" t="s">
        <v>456</v>
      </c>
      <c r="B86" s="2" t="s">
        <v>59</v>
      </c>
      <c r="C86" s="2" t="s">
        <v>59</v>
      </c>
      <c r="D86" s="2" t="s">
        <v>502</v>
      </c>
      <c r="E86" s="2" t="s">
        <v>59</v>
      </c>
    </row>
    <row r="87" ht="28" spans="1:5">
      <c r="A87" s="2" t="s">
        <v>456</v>
      </c>
      <c r="B87" s="2" t="s">
        <v>59</v>
      </c>
      <c r="C87" s="2" t="s">
        <v>59</v>
      </c>
      <c r="D87" s="2" t="s">
        <v>503</v>
      </c>
      <c r="E87" s="2" t="s">
        <v>59</v>
      </c>
    </row>
    <row r="88" ht="28" spans="1:5">
      <c r="A88" s="2" t="s">
        <v>456</v>
      </c>
      <c r="B88" s="2" t="s">
        <v>59</v>
      </c>
      <c r="C88" s="2" t="s">
        <v>59</v>
      </c>
      <c r="D88" s="2" t="s">
        <v>504</v>
      </c>
      <c r="E88" s="2" t="s">
        <v>59</v>
      </c>
    </row>
    <row r="89" ht="28" spans="1:5">
      <c r="A89" s="2" t="s">
        <v>456</v>
      </c>
      <c r="B89" s="2" t="s">
        <v>59</v>
      </c>
      <c r="C89" s="2" t="s">
        <v>59</v>
      </c>
      <c r="D89" s="2" t="s">
        <v>505</v>
      </c>
      <c r="E89" s="2" t="s">
        <v>59</v>
      </c>
    </row>
    <row r="90" ht="28" spans="1:5">
      <c r="A90" s="2" t="s">
        <v>456</v>
      </c>
      <c r="B90" s="2" t="s">
        <v>59</v>
      </c>
      <c r="C90" s="2" t="s">
        <v>59</v>
      </c>
      <c r="D90" s="2" t="s">
        <v>506</v>
      </c>
      <c r="E90" s="2" t="s">
        <v>59</v>
      </c>
    </row>
    <row r="91" ht="28" spans="1:5">
      <c r="A91" s="2" t="s">
        <v>456</v>
      </c>
      <c r="B91" s="2" t="s">
        <v>59</v>
      </c>
      <c r="C91" s="2" t="s">
        <v>59</v>
      </c>
      <c r="D91" s="2" t="s">
        <v>507</v>
      </c>
      <c r="E91" s="2" t="s">
        <v>59</v>
      </c>
    </row>
    <row r="92" ht="28" spans="1:5">
      <c r="A92" s="2" t="s">
        <v>456</v>
      </c>
      <c r="B92" s="2" t="s">
        <v>59</v>
      </c>
      <c r="C92" s="2" t="s">
        <v>59</v>
      </c>
      <c r="D92" s="2" t="s">
        <v>508</v>
      </c>
      <c r="E92" s="2" t="s">
        <v>59</v>
      </c>
    </row>
    <row r="93" ht="28" spans="1:5">
      <c r="A93" s="2" t="s">
        <v>456</v>
      </c>
      <c r="B93" s="2" t="s">
        <v>59</v>
      </c>
      <c r="C93" s="2" t="s">
        <v>59</v>
      </c>
      <c r="D93" s="2" t="s">
        <v>509</v>
      </c>
      <c r="E93" s="2" t="s">
        <v>59</v>
      </c>
    </row>
    <row r="94" ht="42" spans="1:5">
      <c r="A94" s="2" t="s">
        <v>510</v>
      </c>
      <c r="B94" s="2" t="s">
        <v>59</v>
      </c>
      <c r="C94" s="2" t="s">
        <v>59</v>
      </c>
      <c r="D94" s="2" t="s">
        <v>511</v>
      </c>
      <c r="E94" s="2" t="s">
        <v>59</v>
      </c>
    </row>
    <row r="95" ht="42" spans="1:5">
      <c r="A95" s="2" t="s">
        <v>510</v>
      </c>
      <c r="B95" s="2" t="s">
        <v>59</v>
      </c>
      <c r="C95" s="2" t="s">
        <v>59</v>
      </c>
      <c r="D95" s="2" t="s">
        <v>512</v>
      </c>
      <c r="E95" s="2" t="s">
        <v>59</v>
      </c>
    </row>
    <row r="96" ht="42" spans="1:5">
      <c r="A96" s="2" t="s">
        <v>510</v>
      </c>
      <c r="B96" s="2" t="s">
        <v>59</v>
      </c>
      <c r="C96" s="2" t="s">
        <v>59</v>
      </c>
      <c r="D96" s="2" t="s">
        <v>513</v>
      </c>
      <c r="E96" s="2" t="s">
        <v>59</v>
      </c>
    </row>
    <row r="97" ht="42" spans="1:5">
      <c r="A97" s="2" t="s">
        <v>510</v>
      </c>
      <c r="B97" s="2" t="s">
        <v>59</v>
      </c>
      <c r="C97" s="2" t="s">
        <v>59</v>
      </c>
      <c r="D97" s="2" t="s">
        <v>514</v>
      </c>
      <c r="E97" s="2" t="s">
        <v>59</v>
      </c>
    </row>
    <row r="98" ht="42" spans="1:5">
      <c r="A98" s="2" t="s">
        <v>510</v>
      </c>
      <c r="B98" s="2" t="s">
        <v>59</v>
      </c>
      <c r="C98" s="2" t="s">
        <v>59</v>
      </c>
      <c r="D98" s="2" t="s">
        <v>515</v>
      </c>
      <c r="E98" s="2" t="s">
        <v>59</v>
      </c>
    </row>
    <row r="99" ht="42" spans="1:5">
      <c r="A99" s="2" t="s">
        <v>510</v>
      </c>
      <c r="B99" s="2" t="s">
        <v>59</v>
      </c>
      <c r="C99" s="2" t="s">
        <v>59</v>
      </c>
      <c r="D99" s="2" t="s">
        <v>516</v>
      </c>
      <c r="E99" s="2" t="s">
        <v>59</v>
      </c>
    </row>
    <row r="100" ht="42" spans="1:5">
      <c r="A100" s="2" t="s">
        <v>510</v>
      </c>
      <c r="B100" s="2" t="s">
        <v>59</v>
      </c>
      <c r="C100" s="2" t="s">
        <v>59</v>
      </c>
      <c r="D100" s="2" t="s">
        <v>517</v>
      </c>
      <c r="E100" s="2" t="s">
        <v>59</v>
      </c>
    </row>
    <row r="101" ht="42" spans="1:5">
      <c r="A101" s="2" t="s">
        <v>510</v>
      </c>
      <c r="B101" s="2" t="s">
        <v>59</v>
      </c>
      <c r="C101" s="2" t="s">
        <v>59</v>
      </c>
      <c r="D101" s="2" t="s">
        <v>518</v>
      </c>
      <c r="E101" s="2" t="s">
        <v>59</v>
      </c>
    </row>
    <row r="102" ht="42" spans="1:5">
      <c r="A102" s="2" t="s">
        <v>510</v>
      </c>
      <c r="B102" s="2" t="s">
        <v>59</v>
      </c>
      <c r="C102" s="2" t="s">
        <v>59</v>
      </c>
      <c r="D102" s="2" t="s">
        <v>519</v>
      </c>
      <c r="E102" s="2" t="s">
        <v>59</v>
      </c>
    </row>
    <row r="103" ht="42" spans="1:5">
      <c r="A103" s="2" t="s">
        <v>510</v>
      </c>
      <c r="B103" s="2" t="s">
        <v>59</v>
      </c>
      <c r="C103" s="2" t="s">
        <v>59</v>
      </c>
      <c r="D103" s="2" t="s">
        <v>520</v>
      </c>
      <c r="E103" s="2" t="s">
        <v>59</v>
      </c>
    </row>
    <row r="104" ht="42" spans="1:5">
      <c r="A104" s="2" t="s">
        <v>510</v>
      </c>
      <c r="B104" s="2" t="s">
        <v>59</v>
      </c>
      <c r="C104" s="2" t="s">
        <v>59</v>
      </c>
      <c r="D104" s="2" t="s">
        <v>521</v>
      </c>
      <c r="E104" s="2" t="s">
        <v>59</v>
      </c>
    </row>
    <row r="105" ht="42" spans="1:5">
      <c r="A105" s="2" t="s">
        <v>510</v>
      </c>
      <c r="B105" s="2" t="s">
        <v>59</v>
      </c>
      <c r="C105" s="2" t="s">
        <v>59</v>
      </c>
      <c r="D105" s="2" t="s">
        <v>522</v>
      </c>
      <c r="E105" s="2" t="s">
        <v>59</v>
      </c>
    </row>
    <row r="106" ht="42" spans="1:5">
      <c r="A106" s="2" t="s">
        <v>510</v>
      </c>
      <c r="B106" s="2" t="s">
        <v>59</v>
      </c>
      <c r="C106" s="2" t="s">
        <v>59</v>
      </c>
      <c r="D106" s="2" t="s">
        <v>523</v>
      </c>
      <c r="E106" s="2" t="s">
        <v>59</v>
      </c>
    </row>
    <row r="107" ht="56" spans="1:5">
      <c r="A107" s="2" t="s">
        <v>510</v>
      </c>
      <c r="B107" s="2" t="s">
        <v>59</v>
      </c>
      <c r="C107" s="2" t="s">
        <v>59</v>
      </c>
      <c r="D107" s="2" t="s">
        <v>524</v>
      </c>
      <c r="E107" s="2" t="s">
        <v>59</v>
      </c>
    </row>
    <row r="108" ht="56" spans="1:5">
      <c r="A108" s="2" t="s">
        <v>510</v>
      </c>
      <c r="B108" s="2" t="s">
        <v>59</v>
      </c>
      <c r="C108" s="2" t="s">
        <v>59</v>
      </c>
      <c r="D108" s="2" t="s">
        <v>525</v>
      </c>
      <c r="E108" s="2" t="s">
        <v>59</v>
      </c>
    </row>
    <row r="109" ht="42" spans="1:5">
      <c r="A109" s="2" t="s">
        <v>510</v>
      </c>
      <c r="B109" s="2" t="s">
        <v>59</v>
      </c>
      <c r="C109" s="2" t="s">
        <v>59</v>
      </c>
      <c r="D109" s="2" t="s">
        <v>526</v>
      </c>
      <c r="E109" s="2" t="s">
        <v>59</v>
      </c>
    </row>
    <row r="110" ht="70" spans="1:5">
      <c r="A110" s="2" t="s">
        <v>510</v>
      </c>
      <c r="B110" s="2" t="s">
        <v>59</v>
      </c>
      <c r="C110" s="2" t="s">
        <v>59</v>
      </c>
      <c r="D110" s="2" t="s">
        <v>527</v>
      </c>
      <c r="E110" s="2" t="s">
        <v>59</v>
      </c>
    </row>
    <row r="111" ht="42" spans="1:5">
      <c r="A111" s="2" t="s">
        <v>510</v>
      </c>
      <c r="B111" s="2" t="s">
        <v>59</v>
      </c>
      <c r="C111" s="2" t="s">
        <v>59</v>
      </c>
      <c r="D111" s="2" t="s">
        <v>528</v>
      </c>
      <c r="E111" s="2" t="s">
        <v>59</v>
      </c>
    </row>
    <row r="112" ht="42" spans="1:5">
      <c r="A112" s="2" t="s">
        <v>510</v>
      </c>
      <c r="B112" s="2" t="s">
        <v>59</v>
      </c>
      <c r="C112" s="2" t="s">
        <v>59</v>
      </c>
      <c r="D112" s="2" t="s">
        <v>529</v>
      </c>
      <c r="E112" s="2" t="s">
        <v>59</v>
      </c>
    </row>
    <row r="113" ht="42" spans="1:5">
      <c r="A113" s="2" t="s">
        <v>510</v>
      </c>
      <c r="B113" s="2" t="s">
        <v>59</v>
      </c>
      <c r="C113" s="2" t="s">
        <v>59</v>
      </c>
      <c r="D113" s="2" t="s">
        <v>530</v>
      </c>
      <c r="E113" s="2" t="s">
        <v>59</v>
      </c>
    </row>
    <row r="114" ht="42" spans="1:5">
      <c r="A114" s="2" t="s">
        <v>510</v>
      </c>
      <c r="B114" s="2" t="s">
        <v>59</v>
      </c>
      <c r="C114" s="2" t="s">
        <v>59</v>
      </c>
      <c r="D114" s="2" t="s">
        <v>531</v>
      </c>
      <c r="E114" s="2" t="s">
        <v>59</v>
      </c>
    </row>
    <row r="115" ht="42" spans="1:5">
      <c r="A115" s="2" t="s">
        <v>510</v>
      </c>
      <c r="B115" s="2" t="s">
        <v>59</v>
      </c>
      <c r="C115" s="2" t="s">
        <v>59</v>
      </c>
      <c r="D115" s="2" t="s">
        <v>532</v>
      </c>
      <c r="E115" s="2" t="s">
        <v>59</v>
      </c>
    </row>
    <row r="116" ht="56" spans="1:5">
      <c r="A116" s="2" t="s">
        <v>533</v>
      </c>
      <c r="B116" s="2" t="s">
        <v>59</v>
      </c>
      <c r="C116" s="2" t="s">
        <v>59</v>
      </c>
      <c r="D116" s="2" t="s">
        <v>534</v>
      </c>
      <c r="E116" s="2" t="s">
        <v>59</v>
      </c>
    </row>
    <row r="117" ht="70" spans="1:5">
      <c r="A117" s="2" t="s">
        <v>533</v>
      </c>
      <c r="B117" s="2" t="s">
        <v>59</v>
      </c>
      <c r="C117" s="2" t="s">
        <v>59</v>
      </c>
      <c r="D117" s="2" t="s">
        <v>535</v>
      </c>
      <c r="E117" s="2" t="s">
        <v>59</v>
      </c>
    </row>
    <row r="118" ht="70" spans="1:5">
      <c r="A118" s="2" t="s">
        <v>533</v>
      </c>
      <c r="B118" s="2" t="s">
        <v>59</v>
      </c>
      <c r="C118" s="2" t="s">
        <v>59</v>
      </c>
      <c r="D118" s="2" t="s">
        <v>536</v>
      </c>
      <c r="E118" s="2" t="s">
        <v>59</v>
      </c>
    </row>
    <row r="119" ht="56" spans="1:5">
      <c r="A119" s="2" t="s">
        <v>533</v>
      </c>
      <c r="B119" s="2" t="s">
        <v>59</v>
      </c>
      <c r="C119" s="2" t="s">
        <v>59</v>
      </c>
      <c r="D119" s="2" t="s">
        <v>537</v>
      </c>
      <c r="E119" s="2" t="s">
        <v>59</v>
      </c>
    </row>
    <row r="120" ht="56" spans="1:5">
      <c r="A120" s="2" t="s">
        <v>533</v>
      </c>
      <c r="B120" s="2" t="s">
        <v>59</v>
      </c>
      <c r="C120" s="2" t="s">
        <v>59</v>
      </c>
      <c r="D120" s="2" t="s">
        <v>538</v>
      </c>
      <c r="E120" s="2" t="s">
        <v>59</v>
      </c>
    </row>
    <row r="121" ht="42" spans="1:5">
      <c r="A121" s="2" t="s">
        <v>533</v>
      </c>
      <c r="B121" s="2" t="s">
        <v>59</v>
      </c>
      <c r="C121" s="2" t="s">
        <v>59</v>
      </c>
      <c r="D121" s="2" t="s">
        <v>539</v>
      </c>
      <c r="E121" s="2" t="s">
        <v>59</v>
      </c>
    </row>
    <row r="122" ht="42" spans="1:5">
      <c r="A122" s="2" t="s">
        <v>533</v>
      </c>
      <c r="B122" s="2" t="s">
        <v>59</v>
      </c>
      <c r="C122" s="2" t="s">
        <v>59</v>
      </c>
      <c r="D122" s="2" t="s">
        <v>540</v>
      </c>
      <c r="E122" s="2" t="s">
        <v>59</v>
      </c>
    </row>
    <row r="123" ht="42" spans="1:5">
      <c r="A123" s="2" t="s">
        <v>533</v>
      </c>
      <c r="B123" s="2" t="s">
        <v>59</v>
      </c>
      <c r="C123" s="2" t="s">
        <v>59</v>
      </c>
      <c r="D123" s="2" t="s">
        <v>541</v>
      </c>
      <c r="E123" s="2" t="s">
        <v>59</v>
      </c>
    </row>
    <row r="124" ht="42" spans="1:5">
      <c r="A124" s="2" t="s">
        <v>533</v>
      </c>
      <c r="B124" s="2" t="s">
        <v>59</v>
      </c>
      <c r="C124" s="2" t="s">
        <v>59</v>
      </c>
      <c r="D124" s="2" t="s">
        <v>542</v>
      </c>
      <c r="E124" s="2" t="s">
        <v>59</v>
      </c>
    </row>
    <row r="125" ht="42" spans="1:5">
      <c r="A125" s="2" t="s">
        <v>533</v>
      </c>
      <c r="B125" s="2" t="s">
        <v>59</v>
      </c>
      <c r="C125" s="2" t="s">
        <v>59</v>
      </c>
      <c r="D125" s="2" t="s">
        <v>543</v>
      </c>
      <c r="E125" s="2" t="s">
        <v>59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"/>
  <sheetViews>
    <sheetView workbookViewId="0">
      <selection activeCell="D3" sqref="D3"/>
    </sheetView>
  </sheetViews>
  <sheetFormatPr defaultColWidth="9" defaultRowHeight="14" outlineLevelCol="3"/>
  <cols>
    <col min="1" max="2" width="18" customWidth="1"/>
    <col min="3" max="3" width="42" customWidth="1"/>
    <col min="4" max="4" width="18" customWidth="1"/>
  </cols>
  <sheetData>
    <row r="1" spans="1:4">
      <c r="A1" s="3" t="s">
        <v>1</v>
      </c>
      <c r="B1" s="3" t="s">
        <v>544</v>
      </c>
      <c r="C1" s="3" t="s">
        <v>545</v>
      </c>
      <c r="D1" s="3" t="s">
        <v>3</v>
      </c>
    </row>
    <row r="2" ht="28" spans="1:4">
      <c r="A2" s="2" t="s">
        <v>546</v>
      </c>
      <c r="B2" s="2" t="s">
        <v>547</v>
      </c>
      <c r="C2" s="2" t="s">
        <v>59</v>
      </c>
      <c r="D2" s="2" t="s">
        <v>548</v>
      </c>
    </row>
    <row r="3" ht="28" spans="1:4">
      <c r="A3" s="2" t="s">
        <v>549</v>
      </c>
      <c r="B3" s="2" t="s">
        <v>550</v>
      </c>
      <c r="C3" s="2" t="s">
        <v>551</v>
      </c>
      <c r="D3" s="4" t="s">
        <v>552</v>
      </c>
    </row>
    <row r="4" spans="1:4">
      <c r="A4" s="2" t="s">
        <v>553</v>
      </c>
      <c r="B4" s="2" t="s">
        <v>554</v>
      </c>
      <c r="C4" s="2" t="s">
        <v>555</v>
      </c>
      <c r="D4" s="2" t="s">
        <v>59</v>
      </c>
    </row>
    <row r="5" ht="42" spans="1:4">
      <c r="A5" s="2" t="s">
        <v>553</v>
      </c>
      <c r="B5" s="2" t="s">
        <v>556</v>
      </c>
      <c r="C5" s="2" t="s">
        <v>557</v>
      </c>
      <c r="D5" s="2" t="s">
        <v>59</v>
      </c>
    </row>
    <row r="6" ht="70" spans="1:4">
      <c r="A6" s="2" t="s">
        <v>553</v>
      </c>
      <c r="B6" s="2" t="s">
        <v>558</v>
      </c>
      <c r="C6" s="2" t="s">
        <v>559</v>
      </c>
      <c r="D6" s="2" t="s">
        <v>560</v>
      </c>
    </row>
    <row r="7" ht="28" spans="1:4">
      <c r="A7" s="2" t="s">
        <v>553</v>
      </c>
      <c r="B7" s="2" t="s">
        <v>561</v>
      </c>
      <c r="C7" s="2" t="s">
        <v>562</v>
      </c>
      <c r="D7" s="2" t="s">
        <v>59</v>
      </c>
    </row>
    <row r="8" spans="1:4">
      <c r="A8" s="2" t="s">
        <v>563</v>
      </c>
      <c r="B8" s="2" t="s">
        <v>564</v>
      </c>
      <c r="C8" s="2" t="s">
        <v>59</v>
      </c>
      <c r="D8" s="2" t="s">
        <v>59</v>
      </c>
    </row>
    <row r="9" spans="1:4">
      <c r="A9" s="2" t="s">
        <v>563</v>
      </c>
      <c r="B9" s="2" t="s">
        <v>565</v>
      </c>
      <c r="C9" s="2" t="s">
        <v>59</v>
      </c>
      <c r="D9" s="2" t="s">
        <v>59</v>
      </c>
    </row>
    <row r="10" spans="1:4">
      <c r="A10" s="2" t="s">
        <v>563</v>
      </c>
      <c r="B10" s="2" t="s">
        <v>566</v>
      </c>
      <c r="C10" s="2" t="s">
        <v>59</v>
      </c>
      <c r="D10" s="2" t="s">
        <v>59</v>
      </c>
    </row>
    <row r="11" spans="1:4">
      <c r="A11" s="2" t="s">
        <v>563</v>
      </c>
      <c r="B11" s="2" t="s">
        <v>567</v>
      </c>
      <c r="C11" s="2" t="s">
        <v>59</v>
      </c>
      <c r="D11" s="2" t="s">
        <v>59</v>
      </c>
    </row>
    <row r="12" spans="1:4">
      <c r="A12" s="2" t="s">
        <v>563</v>
      </c>
      <c r="B12" s="2" t="s">
        <v>568</v>
      </c>
      <c r="C12" s="2" t="s">
        <v>59</v>
      </c>
      <c r="D12" s="2" t="s">
        <v>59</v>
      </c>
    </row>
    <row r="13" spans="1:4">
      <c r="A13" s="2" t="s">
        <v>563</v>
      </c>
      <c r="B13" s="2" t="s">
        <v>569</v>
      </c>
      <c r="C13" s="2" t="s">
        <v>570</v>
      </c>
      <c r="D13" s="2" t="s">
        <v>59</v>
      </c>
    </row>
    <row r="14" spans="1:4">
      <c r="A14" s="2" t="s">
        <v>563</v>
      </c>
      <c r="B14" s="2" t="s">
        <v>571</v>
      </c>
      <c r="C14" s="2" t="s">
        <v>59</v>
      </c>
      <c r="D14" s="2" t="s">
        <v>59</v>
      </c>
    </row>
    <row r="15" spans="1:4">
      <c r="A15" s="2" t="s">
        <v>563</v>
      </c>
      <c r="B15" s="2" t="s">
        <v>572</v>
      </c>
      <c r="C15" s="2" t="s">
        <v>573</v>
      </c>
      <c r="D15" s="2" t="s">
        <v>59</v>
      </c>
    </row>
    <row r="16" spans="1:4">
      <c r="A16" s="2" t="s">
        <v>563</v>
      </c>
      <c r="B16" s="2" t="s">
        <v>574</v>
      </c>
      <c r="C16" s="2" t="s">
        <v>59</v>
      </c>
      <c r="D16" s="2" t="s">
        <v>59</v>
      </c>
    </row>
    <row r="17" spans="1:4">
      <c r="A17" s="2" t="s">
        <v>563</v>
      </c>
      <c r="B17" s="2" t="s">
        <v>575</v>
      </c>
      <c r="C17" s="2" t="s">
        <v>59</v>
      </c>
      <c r="D17" s="2" t="s">
        <v>59</v>
      </c>
    </row>
    <row r="18" spans="1:4">
      <c r="A18" s="2" t="s">
        <v>563</v>
      </c>
      <c r="B18" s="2" t="s">
        <v>576</v>
      </c>
      <c r="C18" s="2" t="s">
        <v>59</v>
      </c>
      <c r="D18" s="2" t="s">
        <v>59</v>
      </c>
    </row>
    <row r="19" spans="1:4">
      <c r="A19" s="2" t="s">
        <v>563</v>
      </c>
      <c r="B19" s="2" t="s">
        <v>577</v>
      </c>
      <c r="C19" s="2" t="s">
        <v>59</v>
      </c>
      <c r="D19" s="2" t="s">
        <v>59</v>
      </c>
    </row>
    <row r="20" spans="1:4">
      <c r="A20" s="2" t="s">
        <v>563</v>
      </c>
      <c r="B20" s="2" t="s">
        <v>578</v>
      </c>
      <c r="C20" s="2" t="s">
        <v>59</v>
      </c>
      <c r="D20" s="2" t="s">
        <v>59</v>
      </c>
    </row>
    <row r="21" spans="1:4">
      <c r="A21" s="2" t="s">
        <v>563</v>
      </c>
      <c r="B21" s="2" t="s">
        <v>579</v>
      </c>
      <c r="C21" s="2" t="s">
        <v>580</v>
      </c>
      <c r="D21" s="2" t="s">
        <v>59</v>
      </c>
    </row>
    <row r="22" ht="70" spans="1:4">
      <c r="A22" s="2" t="s">
        <v>563</v>
      </c>
      <c r="B22" s="2" t="s">
        <v>558</v>
      </c>
      <c r="C22" s="2" t="s">
        <v>581</v>
      </c>
      <c r="D22" s="2" t="s">
        <v>59</v>
      </c>
    </row>
    <row r="23" spans="1:4">
      <c r="A23" s="2" t="s">
        <v>563</v>
      </c>
      <c r="B23" s="2" t="s">
        <v>582</v>
      </c>
      <c r="C23" s="2" t="s">
        <v>583</v>
      </c>
      <c r="D23" s="2" t="s">
        <v>59</v>
      </c>
    </row>
    <row r="24" ht="56" spans="1:4">
      <c r="A24" s="2" t="s">
        <v>563</v>
      </c>
      <c r="B24" s="2" t="s">
        <v>556</v>
      </c>
      <c r="C24" s="2" t="s">
        <v>584</v>
      </c>
      <c r="D24" s="2" t="s">
        <v>59</v>
      </c>
    </row>
    <row r="25" spans="1:4">
      <c r="A25" s="2" t="s">
        <v>563</v>
      </c>
      <c r="B25" s="2" t="s">
        <v>585</v>
      </c>
      <c r="C25" s="2" t="s">
        <v>586</v>
      </c>
      <c r="D25" s="2" t="s">
        <v>59</v>
      </c>
    </row>
    <row r="26" ht="70" spans="1:4">
      <c r="A26" s="2" t="s">
        <v>563</v>
      </c>
      <c r="B26" s="2" t="s">
        <v>587</v>
      </c>
      <c r="C26" s="2" t="s">
        <v>588</v>
      </c>
      <c r="D26" s="2" t="s">
        <v>59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A1" sqref="A1"/>
    </sheetView>
  </sheetViews>
  <sheetFormatPr defaultColWidth="9" defaultRowHeight="14" outlineLevelCol="7"/>
  <cols>
    <col min="1" max="1" width="18" customWidth="1"/>
    <col min="2" max="2" width="42" customWidth="1"/>
    <col min="3" max="3" width="18" customWidth="1"/>
    <col min="4" max="4" width="32" customWidth="1"/>
    <col min="5" max="7" width="18" customWidth="1"/>
    <col min="8" max="8" width="42" customWidth="1"/>
  </cols>
  <sheetData>
    <row r="1" spans="1:8">
      <c r="A1" s="3" t="s">
        <v>1</v>
      </c>
      <c r="B1" s="3" t="s">
        <v>236</v>
      </c>
      <c r="C1" s="3" t="s">
        <v>265</v>
      </c>
      <c r="D1" s="3" t="s">
        <v>237</v>
      </c>
      <c r="E1" s="3" t="s">
        <v>267</v>
      </c>
      <c r="F1" s="3" t="s">
        <v>268</v>
      </c>
      <c r="G1" s="3" t="s">
        <v>269</v>
      </c>
      <c r="H1" s="3" t="s">
        <v>545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A1" sqref="A1"/>
    </sheetView>
  </sheetViews>
  <sheetFormatPr defaultColWidth="9" defaultRowHeight="14" outlineLevelRow="5" outlineLevelCol="1"/>
  <cols>
    <col min="1" max="1" width="26" customWidth="1"/>
    <col min="2" max="2" width="92" customWidth="1"/>
  </cols>
  <sheetData>
    <row r="1" spans="1:2">
      <c r="A1" s="1" t="s">
        <v>589</v>
      </c>
      <c r="B1" s="1" t="s">
        <v>590</v>
      </c>
    </row>
    <row r="2" spans="1:2">
      <c r="A2" s="2" t="s">
        <v>591</v>
      </c>
      <c r="B2" s="2" t="s">
        <v>592</v>
      </c>
    </row>
    <row r="3" ht="28" spans="1:2">
      <c r="A3" s="2" t="s">
        <v>593</v>
      </c>
      <c r="B3" s="2" t="s">
        <v>594</v>
      </c>
    </row>
    <row r="4" spans="1:2">
      <c r="A4" s="2" t="s">
        <v>595</v>
      </c>
      <c r="B4" s="2" t="s">
        <v>596</v>
      </c>
    </row>
    <row r="5" ht="28" spans="1:2">
      <c r="A5" s="2" t="s">
        <v>597</v>
      </c>
      <c r="B5" s="2" t="s">
        <v>598</v>
      </c>
    </row>
    <row r="6" spans="1:2">
      <c r="A6" s="2" t="s">
        <v>599</v>
      </c>
      <c r="B6" s="2" t="s">
        <v>600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News</vt:lpstr>
      <vt:lpstr>Awards</vt:lpstr>
      <vt:lpstr>Grants</vt:lpstr>
      <vt:lpstr>Services</vt:lpstr>
      <vt:lpstr>Group</vt:lpstr>
      <vt:lpstr>Projects</vt:lpstr>
      <vt:lpstr>README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zzupc</cp:lastModifiedBy>
  <dcterms:created xsi:type="dcterms:W3CDTF">2026-06-10T04:05:00Z</dcterms:created>
  <dcterms:modified xsi:type="dcterms:W3CDTF">2026-06-11T07:02:20Z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C835A445516A4C7D84ED20DE274E5925_12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