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FILES\Onedrive\CV\dm-dut.github.io\"/>
    </mc:Choice>
  </mc:AlternateContent>
  <xr:revisionPtr revIDLastSave="0" documentId="13_ncr:1_{CA925D0E-7F3E-4A0C-8985-589C2E1A217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Sheet1!$A$1:$AF$115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5" i="1" l="1" a="1"/>
  <c r="R115" i="1" s="1"/>
  <c r="R114" i="1" a="1"/>
  <c r="R114" i="1" s="1"/>
  <c r="L113" i="1"/>
  <c r="I113" i="1"/>
  <c r="R110" i="1" a="1"/>
  <c r="R110" i="1" s="1"/>
  <c r="L110" i="1"/>
  <c r="I110" i="1"/>
  <c r="L108" i="1"/>
  <c r="I108" i="1"/>
  <c r="R107" i="1" a="1"/>
  <c r="R107" i="1" s="1"/>
  <c r="L107" i="1"/>
  <c r="I107" i="1"/>
  <c r="R105" i="1" a="1"/>
  <c r="R105" i="1" s="1"/>
  <c r="L105" i="1"/>
  <c r="I105" i="1"/>
  <c r="R104" i="1" a="1"/>
  <c r="R104" i="1" s="1"/>
  <c r="L104" i="1"/>
  <c r="I104" i="1"/>
  <c r="R103" i="1" a="1"/>
  <c r="R103" i="1" s="1"/>
  <c r="L103" i="1"/>
  <c r="I103" i="1"/>
  <c r="R102" i="1" a="1"/>
  <c r="R102" i="1" s="1"/>
  <c r="L102" i="1"/>
  <c r="I102" i="1"/>
  <c r="R101" i="1" a="1"/>
  <c r="R101" i="1" s="1"/>
  <c r="L101" i="1"/>
  <c r="I101" i="1"/>
  <c r="R100" i="1" a="1"/>
  <c r="R100" i="1" s="1"/>
  <c r="L100" i="1"/>
  <c r="I100" i="1"/>
  <c r="R99" i="1" a="1"/>
  <c r="R99" i="1" s="1"/>
  <c r="L99" i="1"/>
  <c r="I99" i="1"/>
  <c r="R98" i="1" a="1"/>
  <c r="R98" i="1" s="1"/>
  <c r="L98" i="1"/>
  <c r="I98" i="1"/>
  <c r="R97" i="1" a="1"/>
  <c r="R97" i="1" s="1"/>
  <c r="L97" i="1"/>
  <c r="I97" i="1"/>
  <c r="R96" i="1" a="1"/>
  <c r="R96" i="1" s="1"/>
  <c r="L96" i="1"/>
  <c r="I96" i="1"/>
  <c r="R95" i="1" a="1"/>
  <c r="R95" i="1" s="1"/>
  <c r="L95" i="1"/>
  <c r="I95" i="1"/>
  <c r="R94" i="1" a="1"/>
  <c r="R94" i="1" s="1"/>
  <c r="L94" i="1"/>
  <c r="I94" i="1"/>
  <c r="R93" i="1" a="1"/>
  <c r="R93" i="1" s="1"/>
  <c r="L93" i="1"/>
  <c r="I93" i="1"/>
  <c r="R92" i="1" a="1"/>
  <c r="R92" i="1" s="1"/>
  <c r="L92" i="1"/>
  <c r="I92" i="1"/>
  <c r="R91" i="1" a="1"/>
  <c r="R91" i="1" s="1"/>
  <c r="L91" i="1"/>
  <c r="I91" i="1"/>
  <c r="R90" i="1" a="1"/>
  <c r="R90" i="1" s="1"/>
  <c r="L90" i="1"/>
  <c r="I90" i="1"/>
  <c r="R89" i="1" a="1"/>
  <c r="R89" i="1" s="1"/>
  <c r="L89" i="1"/>
  <c r="I89" i="1"/>
  <c r="R88" i="1" a="1"/>
  <c r="R88" i="1" s="1"/>
  <c r="L88" i="1"/>
  <c r="I88" i="1"/>
  <c r="R87" i="1" a="1"/>
  <c r="R87" i="1" s="1"/>
  <c r="L87" i="1"/>
  <c r="I87" i="1"/>
  <c r="R86" i="1" a="1"/>
  <c r="R86" i="1" s="1"/>
  <c r="L86" i="1"/>
  <c r="I86" i="1"/>
  <c r="R84" i="1" a="1"/>
  <c r="R84" i="1" s="1"/>
  <c r="L84" i="1"/>
  <c r="I84" i="1"/>
  <c r="R83" i="1" a="1"/>
  <c r="R83" i="1" s="1"/>
  <c r="L83" i="1"/>
  <c r="I83" i="1"/>
  <c r="R82" i="1" a="1"/>
  <c r="R82" i="1" s="1"/>
  <c r="L82" i="1"/>
  <c r="I82" i="1"/>
  <c r="R81" i="1" a="1"/>
  <c r="R81" i="1" s="1"/>
  <c r="L81" i="1"/>
  <c r="I81" i="1"/>
  <c r="R80" i="1" a="1"/>
  <c r="R80" i="1" s="1"/>
  <c r="L80" i="1"/>
  <c r="I80" i="1"/>
  <c r="R79" i="1" a="1"/>
  <c r="R79" i="1" s="1"/>
  <c r="L79" i="1"/>
  <c r="I79" i="1"/>
  <c r="R78" i="1" a="1"/>
  <c r="R78" i="1" s="1"/>
  <c r="L78" i="1"/>
  <c r="I78" i="1"/>
  <c r="R77" i="1" a="1"/>
  <c r="R77" i="1" s="1"/>
  <c r="L77" i="1"/>
  <c r="I77" i="1"/>
  <c r="R76" i="1" a="1"/>
  <c r="R76" i="1" s="1"/>
  <c r="L76" i="1"/>
  <c r="I76" i="1"/>
  <c r="R75" i="1" a="1"/>
  <c r="R75" i="1" s="1"/>
  <c r="L75" i="1"/>
  <c r="I75" i="1"/>
  <c r="R74" i="1" a="1"/>
  <c r="R74" i="1" s="1"/>
  <c r="L74" i="1"/>
  <c r="I74" i="1"/>
  <c r="R73" i="1" a="1"/>
  <c r="R73" i="1" s="1"/>
  <c r="L73" i="1"/>
  <c r="I73" i="1"/>
  <c r="R72" i="1" a="1"/>
  <c r="R72" i="1" s="1"/>
  <c r="L72" i="1"/>
  <c r="I72" i="1"/>
  <c r="R71" i="1" a="1"/>
  <c r="R71" i="1" s="1"/>
  <c r="L71" i="1"/>
  <c r="I71" i="1"/>
  <c r="R70" i="1" a="1"/>
  <c r="R70" i="1" s="1"/>
  <c r="L70" i="1"/>
  <c r="I70" i="1"/>
  <c r="R68" i="1" a="1"/>
  <c r="R68" i="1" s="1"/>
  <c r="L68" i="1"/>
  <c r="I68" i="1"/>
  <c r="R67" i="1" a="1"/>
  <c r="R67" i="1" s="1"/>
  <c r="L67" i="1"/>
  <c r="I67" i="1"/>
  <c r="R66" i="1" a="1"/>
  <c r="R66" i="1" s="1"/>
  <c r="L66" i="1"/>
  <c r="I66" i="1"/>
  <c r="R65" i="1" a="1"/>
  <c r="R65" i="1" s="1"/>
  <c r="L65" i="1"/>
  <c r="I65" i="1"/>
  <c r="R64" i="1" a="1"/>
  <c r="R64" i="1" s="1"/>
  <c r="L64" i="1"/>
  <c r="I64" i="1"/>
  <c r="R63" i="1" a="1"/>
  <c r="R63" i="1" s="1"/>
  <c r="L63" i="1"/>
  <c r="I63" i="1"/>
  <c r="R62" i="1" a="1"/>
  <c r="R62" i="1" s="1"/>
  <c r="L62" i="1"/>
  <c r="I62" i="1"/>
  <c r="R61" i="1" a="1"/>
  <c r="R61" i="1" s="1"/>
  <c r="L61" i="1"/>
  <c r="I61" i="1"/>
  <c r="R60" i="1" a="1"/>
  <c r="R60" i="1" s="1"/>
  <c r="L60" i="1"/>
  <c r="I60" i="1"/>
  <c r="R58" i="1" a="1"/>
  <c r="R58" i="1" s="1"/>
  <c r="L58" i="1"/>
  <c r="I58" i="1"/>
  <c r="R57" i="1" a="1"/>
  <c r="R57" i="1" s="1"/>
  <c r="L57" i="1"/>
  <c r="I57" i="1"/>
  <c r="R56" i="1" a="1"/>
  <c r="R56" i="1" s="1"/>
  <c r="L56" i="1"/>
  <c r="I56" i="1"/>
  <c r="R55" i="1" a="1"/>
  <c r="R55" i="1" s="1"/>
  <c r="L55" i="1"/>
  <c r="I55" i="1"/>
  <c r="R54" i="1" a="1"/>
  <c r="R54" i="1" s="1"/>
  <c r="L54" i="1"/>
  <c r="I54" i="1"/>
  <c r="R53" i="1" a="1"/>
  <c r="R53" i="1" s="1"/>
  <c r="L53" i="1"/>
  <c r="I53" i="1"/>
  <c r="R52" i="1" a="1"/>
  <c r="R52" i="1" s="1"/>
  <c r="L52" i="1"/>
  <c r="I52" i="1"/>
  <c r="R51" i="1" a="1"/>
  <c r="R51" i="1" s="1"/>
  <c r="L51" i="1"/>
  <c r="I51" i="1"/>
  <c r="R50" i="1" a="1"/>
  <c r="R50" i="1" s="1"/>
  <c r="L50" i="1"/>
  <c r="I50" i="1"/>
  <c r="R49" i="1" a="1"/>
  <c r="R49" i="1" s="1"/>
  <c r="L49" i="1"/>
  <c r="I49" i="1"/>
  <c r="R48" i="1" a="1"/>
  <c r="R48" i="1" s="1"/>
  <c r="L48" i="1"/>
  <c r="I48" i="1"/>
  <c r="R47" i="1" a="1"/>
  <c r="R47" i="1" s="1"/>
  <c r="L47" i="1"/>
  <c r="I47" i="1"/>
  <c r="R46" i="1" a="1"/>
  <c r="R46" i="1" s="1"/>
  <c r="L46" i="1"/>
  <c r="I46" i="1"/>
  <c r="R45" i="1" a="1"/>
  <c r="R45" i="1" s="1"/>
  <c r="L45" i="1"/>
  <c r="I45" i="1"/>
  <c r="R44" i="1" a="1"/>
  <c r="R44" i="1" s="1"/>
  <c r="L44" i="1"/>
  <c r="I44" i="1"/>
  <c r="R43" i="1" a="1"/>
  <c r="R43" i="1" s="1"/>
  <c r="L43" i="1"/>
  <c r="I43" i="1"/>
  <c r="R42" i="1" a="1"/>
  <c r="R42" i="1" s="1"/>
  <c r="L42" i="1"/>
  <c r="I42" i="1"/>
  <c r="R41" i="1" a="1"/>
  <c r="R41" i="1" s="1"/>
  <c r="L41" i="1"/>
  <c r="I41" i="1"/>
  <c r="R40" i="1" a="1"/>
  <c r="R40" i="1" s="1"/>
  <c r="L40" i="1"/>
  <c r="I40" i="1"/>
  <c r="R39" i="1" a="1"/>
  <c r="R39" i="1" s="1"/>
  <c r="L39" i="1"/>
  <c r="I39" i="1"/>
  <c r="R38" i="1" a="1"/>
  <c r="R38" i="1" s="1"/>
  <c r="L38" i="1"/>
  <c r="I38" i="1"/>
  <c r="R37" i="1" a="1"/>
  <c r="R37" i="1" s="1"/>
  <c r="L37" i="1"/>
  <c r="I37" i="1"/>
  <c r="R36" i="1" a="1"/>
  <c r="R36" i="1" s="1"/>
  <c r="L36" i="1"/>
  <c r="I36" i="1"/>
  <c r="R35" i="1" a="1"/>
  <c r="R35" i="1" s="1"/>
  <c r="L35" i="1"/>
  <c r="I35" i="1"/>
  <c r="R34" i="1" a="1"/>
  <c r="R34" i="1" s="1"/>
  <c r="L34" i="1"/>
  <c r="I34" i="1"/>
  <c r="R33" i="1" a="1"/>
  <c r="R33" i="1" s="1"/>
  <c r="L33" i="1"/>
  <c r="I33" i="1"/>
  <c r="R32" i="1" a="1"/>
  <c r="R32" i="1" s="1"/>
  <c r="L32" i="1"/>
  <c r="I32" i="1"/>
  <c r="R29" i="1" a="1"/>
  <c r="R29" i="1" s="1"/>
  <c r="L29" i="1"/>
  <c r="I29" i="1"/>
  <c r="R28" i="1" a="1"/>
  <c r="R28" i="1" s="1"/>
  <c r="L28" i="1"/>
  <c r="I28" i="1"/>
  <c r="R27" i="1" a="1"/>
  <c r="R27" i="1" s="1"/>
  <c r="R26" i="1" a="1"/>
  <c r="R26" i="1" s="1"/>
  <c r="R25" i="1" a="1"/>
  <c r="R25" i="1" s="1"/>
  <c r="R24" i="1" a="1"/>
  <c r="R24" i="1" s="1"/>
  <c r="R23" i="1" a="1"/>
  <c r="R23" i="1" s="1"/>
  <c r="R22" i="1" a="1"/>
  <c r="R22" i="1" s="1"/>
  <c r="L22" i="1"/>
  <c r="I22" i="1"/>
  <c r="R21" i="1" a="1"/>
  <c r="R21" i="1" s="1"/>
  <c r="L21" i="1"/>
  <c r="I21" i="1"/>
  <c r="R20" i="1" a="1"/>
  <c r="R20" i="1" s="1"/>
  <c r="L20" i="1"/>
  <c r="I20" i="1"/>
  <c r="R19" i="1" a="1"/>
  <c r="R19" i="1" s="1"/>
  <c r="L19" i="1"/>
  <c r="I19" i="1"/>
  <c r="R18" i="1" a="1"/>
  <c r="R18" i="1" s="1"/>
  <c r="L18" i="1"/>
  <c r="I18" i="1"/>
  <c r="R17" i="1" a="1"/>
  <c r="R17" i="1" s="1"/>
  <c r="L17" i="1"/>
  <c r="I17" i="1"/>
  <c r="R16" i="1" a="1"/>
  <c r="R16" i="1" s="1"/>
  <c r="L16" i="1"/>
  <c r="I16" i="1"/>
  <c r="R15" i="1" a="1"/>
  <c r="R15" i="1" s="1"/>
  <c r="L15" i="1"/>
  <c r="I15" i="1"/>
  <c r="R14" i="1" a="1"/>
  <c r="R14" i="1" s="1"/>
  <c r="L14" i="1"/>
  <c r="I14" i="1"/>
  <c r="R13" i="1" a="1"/>
  <c r="R13" i="1" s="1"/>
  <c r="L13" i="1"/>
  <c r="I13" i="1"/>
  <c r="R12" i="1" a="1"/>
  <c r="R12" i="1" s="1"/>
  <c r="L12" i="1"/>
  <c r="I12" i="1"/>
  <c r="R11" i="1" a="1"/>
  <c r="R11" i="1" s="1"/>
  <c r="L11" i="1"/>
  <c r="I11" i="1"/>
  <c r="R10" i="1" a="1"/>
  <c r="R10" i="1" s="1"/>
  <c r="L10" i="1"/>
  <c r="I10" i="1"/>
  <c r="R9" i="1" a="1"/>
  <c r="R9" i="1" s="1"/>
  <c r="L9" i="1"/>
  <c r="I9" i="1"/>
  <c r="R8" i="1" a="1"/>
  <c r="R8" i="1" s="1"/>
  <c r="I8" i="1"/>
  <c r="R7" i="1" a="1"/>
  <c r="R7" i="1" s="1"/>
  <c r="L7" i="1"/>
  <c r="I7" i="1"/>
  <c r="R6" i="1" a="1"/>
  <c r="R6" i="1" s="1"/>
  <c r="L6" i="1"/>
  <c r="I6" i="1"/>
  <c r="R5" i="1" a="1"/>
  <c r="R5" i="1" s="1"/>
  <c r="L5" i="1"/>
  <c r="I5" i="1"/>
  <c r="R4" i="1" a="1"/>
  <c r="R4" i="1" s="1"/>
  <c r="L4" i="1"/>
  <c r="I4" i="1"/>
  <c r="R3" i="1" a="1"/>
  <c r="R3" i="1" s="1"/>
  <c r="L3" i="1"/>
  <c r="I3" i="1"/>
  <c r="R2" i="1" a="1"/>
  <c r="R2" i="1" s="1"/>
  <c r="L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<sst xmlns="http://schemas.openxmlformats.org/spreadsheetml/2006/main" count="1783" uniqueCount="665">
  <si>
    <t>Type</t>
  </si>
  <si>
    <t>Language</t>
  </si>
  <si>
    <t>Corresponding_Author_cn</t>
  </si>
  <si>
    <t>Corresponding_Author_en</t>
  </si>
  <si>
    <t>Author_Chinese</t>
  </si>
  <si>
    <t>Author_English</t>
  </si>
  <si>
    <t>Year</t>
  </si>
  <si>
    <t>Title_Chinese</t>
  </si>
  <si>
    <t>Title_English</t>
  </si>
  <si>
    <t>Address</t>
  </si>
  <si>
    <t>Source_Chinese</t>
  </si>
  <si>
    <t>Source_English</t>
  </si>
  <si>
    <t>ISSN</t>
  </si>
  <si>
    <t>Volume</t>
  </si>
  <si>
    <t>Number</t>
  </si>
  <si>
    <t>Page</t>
  </si>
  <si>
    <t>DOI</t>
  </si>
  <si>
    <t>IF</t>
  </si>
  <si>
    <t>SCI</t>
  </si>
  <si>
    <t>SSCI</t>
  </si>
  <si>
    <t>EI</t>
  </si>
  <si>
    <t>CSSCI</t>
  </si>
  <si>
    <t>ISTP</t>
  </si>
  <si>
    <t>FMS</t>
  </si>
  <si>
    <t xml:space="preserve">ABS </t>
  </si>
  <si>
    <t>ESI_Highly_Cited</t>
  </si>
  <si>
    <t>ESI_Hot</t>
  </si>
  <si>
    <t>Note_Chinese</t>
  </si>
  <si>
    <t>Note_English</t>
  </si>
  <si>
    <t>ISBN</t>
  </si>
  <si>
    <t>Conference_Date</t>
  </si>
  <si>
    <t>Conference_Address</t>
  </si>
  <si>
    <t>工作</t>
  </si>
  <si>
    <t>英文</t>
  </si>
  <si>
    <t>Zhang, Zhen</t>
  </si>
  <si>
    <t>Jia, Zihang; Zhang, Zhen</t>
  </si>
  <si>
    <t>An optimization-based framework for data clustering with weighted granular balls based on the principle of justifiable granularity</t>
  </si>
  <si>
    <t>Omega</t>
  </si>
  <si>
    <t>0305-0483</t>
  </si>
  <si>
    <t>是</t>
  </si>
  <si>
    <t>B</t>
  </si>
  <si>
    <t>Gao, Yuan; Zhang, Zhen; Chen, Yu-wang; Kadziński, Miłosz</t>
  </si>
  <si>
    <t>Sorting under multiple eyes: a multi-view preference learning framework for multi-criteria decision aiding</t>
  </si>
  <si>
    <t>European Journal of Operational Research</t>
  </si>
  <si>
    <t>0377-2217</t>
  </si>
  <si>
    <t>A</t>
  </si>
  <si>
    <t>4</t>
  </si>
  <si>
    <t>Zhao, Yiyi</t>
  </si>
  <si>
    <t>Dong, Jianglin; Zhao, Yiyi; Hu, Jiangping; Zhang, Zhen; Bijoy K. Ghosh</t>
  </si>
  <si>
    <t>Strategic opinion-behavior coevolution in social networks: A potential game approach with privacy preservation</t>
  </si>
  <si>
    <t>3</t>
  </si>
  <si>
    <t>Chen, Qianqian; Zhang, Zhen</t>
  </si>
  <si>
    <t>From feeling to going: Unraveling the dynamics of emotion and travel intention in tourism vlog consumption via a two-stage Ising model</t>
  </si>
  <si>
    <t>Tourism Management</t>
  </si>
  <si>
    <t>0261-5177</t>
  </si>
  <si>
    <t>Tourist-generated vs. DMO-produced: Disentangling the heterogeneous effects of destination image discrepancies on Vlog engagement</t>
  </si>
  <si>
    <t>Current Issues in Tourism</t>
  </si>
  <si>
    <t>1368-3500</t>
  </si>
  <si>
    <t>Unpacking the dynamic visual structure of travel vlogs and its impact on user engagement: A computer vision and sequence-based analysis</t>
  </si>
  <si>
    <t>Information Systems Frontiers</t>
  </si>
  <si>
    <t>1387-3326</t>
  </si>
  <si>
    <t>Jia, Zihang; Zhang, Zhen; Pedrycz, Witold</t>
  </si>
  <si>
    <t>CWGB-BGSC: Consensus weighted granular-ball guided bipartite graph spectral clustering</t>
  </si>
  <si>
    <t>IEEE Transactions on Neural Networks and Learning Systems</t>
  </si>
  <si>
    <t>2162-2388</t>
  </si>
  <si>
    <t>Li, Zhuolin; Zhang, Zhen; Kadziński, Miłosz</t>
  </si>
  <si>
    <t>A consensus-embedded regret-based framework for robust group rankings in multi-criteria decision making with linguistic preference intensity</t>
  </si>
  <si>
    <t>IEEE Transactions on Systems, Man, and Cybernetics: Systems</t>
  </si>
  <si>
    <t>2168-2216</t>
  </si>
  <si>
    <t>Zhang, Zhen; Yu, Wenyu</t>
  </si>
  <si>
    <t>Gao, Yuan; Zhang, Zhen; Chen, Yu-wang; Yu, Wenyu</t>
  </si>
  <si>
    <t>Preference learning augmented by graph structure for multiple criteria sorting with varying interactions</t>
  </si>
  <si>
    <t>Journal of the Operational Research Society</t>
  </si>
  <si>
    <t>0160-5682</t>
  </si>
  <si>
    <t>LGBQPC: Local granular-ball quality peaks clustering</t>
  </si>
  <si>
    <t>IEEE Transactions on Cybernetics</t>
  </si>
  <si>
    <t>2168-2267</t>
  </si>
  <si>
    <t>Group compromise rankings with indirect preference information: maximizing pairwise- and rank-based support</t>
  </si>
  <si>
    <t>Computers &amp; Operations Research</t>
  </si>
  <si>
    <t>0305-0548</t>
  </si>
  <si>
    <t>Li, Congcong</t>
  </si>
  <si>
    <t>Liu, Yaya; Zhang, Lianshuang; Zhang, Zhen; Li, Congcong; Martínez, Luis</t>
  </si>
  <si>
    <t>PIS learning in LSGDM under hybrid multi-format preference context: Application in safety assessment of LLMs</t>
  </si>
  <si>
    <t>Information Fusion</t>
  </si>
  <si>
    <t>1566-2535</t>
  </si>
  <si>
    <t>Liu, Yaya; Zu, Miao; Zhang, Zhen; Rodríguez, Rosa M;</t>
  </si>
  <si>
    <t>A multi-stage minimum cost consensus model with multifactor-driven unit consensus costs for large-scale group decision making</t>
  </si>
  <si>
    <t>Applied Soft Computing</t>
  </si>
  <si>
    <t>1568-4946</t>
  </si>
  <si>
    <t>Lu, Xiao-Yun; Zhang, Zhen</t>
  </si>
  <si>
    <t>Huang, Jin-Ming; Lu, Xiao-Yun; Cao, Yu-Lin;  Guo, Wei-wei; Zhang, Zhen</t>
  </si>
  <si>
    <t>A two-stage optimization-based consensus reaching framework for portfolio selection with fuzzy preference relations</t>
  </si>
  <si>
    <t>Information Processing and Management</t>
  </si>
  <si>
    <t>0306-4573</t>
  </si>
  <si>
    <t>Huang, Jin-Ming; Lu, Xiao-Yun; Cao, Yu-Lin;  Zhang, Zhen</t>
  </si>
  <si>
    <t>A fairness-aware consensus-reaching framework for multi-expert fuzzy BWM-based portfolio selection</t>
  </si>
  <si>
    <t>Expert Systems with Applications</t>
  </si>
  <si>
    <t>0957-4174</t>
  </si>
  <si>
    <t>Liu, Yaya; Li, Jiaming; Zhang, Zhen</t>
  </si>
  <si>
    <t>A large-scale group decision-making model under social networks with comprehensive management of non-cooperative behaviors and minority opinions in consensus reaching process</t>
  </si>
  <si>
    <t>Computers &amp; Industrial Engineering</t>
  </si>
  <si>
    <t>0360-8352</t>
  </si>
  <si>
    <t>Yu, Wenyu</t>
  </si>
  <si>
    <t>Zhang, Zhen; Li, Zitong; Yu, Wenyu</t>
  </si>
  <si>
    <t>Tourism demand forecasting with multi-factor data: A similar sequence search-based attention approach</t>
  </si>
  <si>
    <t>Shen, Kai-wen</t>
  </si>
  <si>
    <t>Tian, Zhang-peng; Pan, Jie; Zhang, Zhen; Shen, Kai-wen</t>
  </si>
  <si>
    <t>Multi-criteria group sorting model for evaluating new energy vehicle based on online reviews considering time-sensitive preference and criteria interaction</t>
  </si>
  <si>
    <t>Zhang, Zhen; Li, Ying; Li, Zhuolin; Yu, Wenyu</t>
  </si>
  <si>
    <t>Personalized individual semantics-based consensus reaching for linguistic multi-criteria group sorting with heterogeneous preference information</t>
  </si>
  <si>
    <t>Portfolio selection via Bayesian-optimized Choquet integral: Integrating
subjective preferences with objective information</t>
  </si>
  <si>
    <t>Information Sciences</t>
  </si>
  <si>
    <t>0020-0255</t>
  </si>
  <si>
    <t>Chen, Ying-xiao</t>
  </si>
  <si>
    <t>Feng, Tao; Wen, Xu-Jingn; Chen, Ying-Xiao; Zhang, Zhen</t>
  </si>
  <si>
    <t>Homogeneity-driven three-way clustering for social network group decision-making: Core opinion preservation and evidential fusion</t>
  </si>
  <si>
    <t>中文</t>
  </si>
  <si>
    <t>于文玉</t>
  </si>
  <si>
    <t>李卓琳;张震;于文玉</t>
  </si>
  <si>
    <t>Li, Zhuolin; Zhang, Zhen; Yu, Wenyu</t>
  </si>
  <si>
    <t>异构偏好信息下考虑自信水平的多准则分类方法</t>
  </si>
  <si>
    <t xml:space="preserve">A multi-criteria sorting method considering confidence levels under heterogeneous preference information   </t>
  </si>
  <si>
    <t>中国管理科学</t>
  </si>
  <si>
    <t>Chinese Journal of Management Science</t>
  </si>
  <si>
    <t>T1</t>
  </si>
  <si>
    <r>
      <rPr>
        <sz val="11"/>
        <color rgb="FF1F1F1F"/>
        <rFont val="宋体"/>
        <family val="3"/>
        <charset val="134"/>
      </rPr>
      <t>张震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3"/>
        <charset val="134"/>
      </rPr>
      <t>李梓桐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3"/>
        <charset val="134"/>
      </rPr>
      <t>于文玉</t>
    </r>
  </si>
  <si>
    <r>
      <rPr>
        <sz val="11"/>
        <color theme="1"/>
        <rFont val="微软雅黑"/>
        <family val="2"/>
        <charset val="134"/>
      </rPr>
      <t>基于改进</t>
    </r>
    <r>
      <rPr>
        <sz val="11"/>
        <color theme="1"/>
        <rFont val="Calibri"/>
        <family val="2"/>
      </rPr>
      <t>VMD</t>
    </r>
    <r>
      <rPr>
        <sz val="11"/>
        <color theme="1"/>
        <rFont val="微软雅黑"/>
        <family val="2"/>
        <charset val="134"/>
      </rPr>
      <t>与通道独立策略的旅游需求长期预测研究</t>
    </r>
  </si>
  <si>
    <t>Forecasting long-term tourism demand based on improved variational mode decomposition and channel-independent strategy</t>
  </si>
  <si>
    <t>系统工程理论与实践</t>
  </si>
  <si>
    <r>
      <rPr>
        <sz val="11"/>
        <color theme="1"/>
        <rFont val="Calibri"/>
        <family val="2"/>
      </rPr>
      <t xml:space="preserve">Systems Engineering </t>
    </r>
    <r>
      <rPr>
        <sz val="11"/>
        <color theme="1"/>
        <rFont val="宋体"/>
        <family val="3"/>
        <charset val="134"/>
      </rPr>
      <t>--</t>
    </r>
    <r>
      <rPr>
        <sz val="11"/>
        <color theme="1"/>
        <rFont val="Calibri"/>
        <family val="2"/>
      </rPr>
      <t xml:space="preserve"> Theory &amp; Practice</t>
    </r>
  </si>
  <si>
    <t>刘佳鹏</t>
  </si>
  <si>
    <t>Liu, Jiapeng</t>
  </si>
  <si>
    <r>
      <rPr>
        <sz val="11"/>
        <color rgb="FF1F1F1F"/>
        <rFont val="宋体"/>
        <family val="3"/>
        <charset val="134"/>
      </rPr>
      <t>田熠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3"/>
        <charset val="134"/>
      </rPr>
      <t>刘佳鹏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3"/>
        <charset val="134"/>
      </rPr>
      <t>毛晓欣</t>
    </r>
    <r>
      <rPr>
        <sz val="11"/>
        <color rgb="FF1F1F1F"/>
        <rFont val="Arial"/>
        <family val="2"/>
      </rPr>
      <t>;</t>
    </r>
    <r>
      <rPr>
        <sz val="11"/>
        <color rgb="FF1F1F1F"/>
        <rFont val="宋体"/>
        <family val="3"/>
        <charset val="134"/>
      </rPr>
      <t>张震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3"/>
        <charset val="134"/>
      </rPr>
      <t>廖貅武</t>
    </r>
  </si>
  <si>
    <t>Tian, Yi; Liu, Jiapeng; Mao, Xiaoxin; Zhang, Zhen; Liao, Xiuwu</t>
  </si>
  <si>
    <t>用户长期参与视角下的短视频内容推荐方法</t>
  </si>
  <si>
    <t>Short video content recommendation method from the perspective of long-term user engagement</t>
  </si>
  <si>
    <t>Systems Engineering -- Theory &amp; Practice</t>
  </si>
  <si>
    <r>
      <rPr>
        <sz val="11"/>
        <color theme="1"/>
        <rFont val="宋体"/>
        <family val="3"/>
        <charset val="134"/>
      </rPr>
      <t>赵思远</t>
    </r>
    <r>
      <rPr>
        <sz val="11"/>
        <color theme="1"/>
        <rFont val="Calibri"/>
        <family val="2"/>
      </rPr>
      <t>;</t>
    </r>
    <r>
      <rPr>
        <sz val="11"/>
        <color theme="1"/>
        <rFont val="宋体"/>
        <family val="3"/>
        <charset val="134"/>
      </rPr>
      <t>刘佳鹏</t>
    </r>
    <r>
      <rPr>
        <sz val="11"/>
        <color theme="1"/>
        <rFont val="Calibri"/>
        <family val="2"/>
      </rPr>
      <t>;</t>
    </r>
    <r>
      <rPr>
        <sz val="11"/>
        <color theme="1"/>
        <rFont val="宋体"/>
        <family val="3"/>
        <charset val="134"/>
      </rPr>
      <t>毛晓欣</t>
    </r>
    <r>
      <rPr>
        <sz val="11"/>
        <color theme="1"/>
        <rFont val="Calibri"/>
        <family val="2"/>
      </rPr>
      <t>;</t>
    </r>
    <r>
      <rPr>
        <sz val="11"/>
        <color theme="1"/>
        <rFont val="宋体"/>
        <family val="3"/>
        <charset val="134"/>
      </rPr>
      <t>张震</t>
    </r>
    <r>
      <rPr>
        <sz val="11"/>
        <color theme="1"/>
        <rFont val="Calibri"/>
        <family val="2"/>
      </rPr>
      <t>;</t>
    </r>
    <r>
      <rPr>
        <sz val="11"/>
        <color theme="1"/>
        <rFont val="宋体"/>
        <family val="3"/>
        <charset val="134"/>
      </rPr>
      <t>廖貅武</t>
    </r>
  </si>
  <si>
    <t>Zhao, Siyuan; Liu, Jiapeng; Mao, Xiaoxin; Zhang, Zhen; Liao, Xiuwu</t>
  </si>
  <si>
    <t>基于深度序列模型的顾客动态满意度建模研究</t>
  </si>
  <si>
    <t>Customer dynamic satisfaction modeling based on deep sequence models</t>
  </si>
  <si>
    <r>
      <rPr>
        <sz val="11"/>
        <color theme="1"/>
        <rFont val="宋体"/>
        <family val="3"/>
        <charset val="134"/>
      </rPr>
      <t>张震</t>
    </r>
    <r>
      <rPr>
        <sz val="11"/>
        <color theme="1"/>
        <rFont val="Calibri"/>
        <family val="2"/>
      </rPr>
      <t>;</t>
    </r>
    <r>
      <rPr>
        <sz val="11"/>
        <color theme="1"/>
        <rFont val="宋体"/>
        <family val="3"/>
        <charset val="134"/>
      </rPr>
      <t>徐梓驭</t>
    </r>
    <r>
      <rPr>
        <sz val="11"/>
        <color theme="1"/>
        <rFont val="Calibri"/>
        <family val="2"/>
      </rPr>
      <t>;</t>
    </r>
    <r>
      <rPr>
        <sz val="11"/>
        <color theme="1"/>
        <rFont val="宋体"/>
        <family val="3"/>
        <charset val="134"/>
      </rPr>
      <t>于文玉</t>
    </r>
  </si>
  <si>
    <t>Zhang, Zhen; Xu, Ziyu; Yu, Wenyu</t>
  </si>
  <si>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GAF-CNN-Transformer</t>
    </r>
    <r>
      <rPr>
        <sz val="11"/>
        <color theme="1"/>
        <rFont val="宋体"/>
        <family val="3"/>
        <charset val="134"/>
      </rPr>
      <t>的长期旅游需求预测方法</t>
    </r>
  </si>
  <si>
    <t>A method for long-term tourism demand forecasting based on GAF-CNN-Transformer</t>
  </si>
  <si>
    <t>Yu, Wenyu; Li, Zhuolin; Zhang, Zhen; Wu, Jian</t>
  </si>
  <si>
    <t>A linguistic distribution-based approach to support consensus reaching in MAGDM with multi-granular unbalanced hesitant fuzzy linguistic information</t>
  </si>
  <si>
    <t>Li, Zhuolin; Zhang, Zhen; Yu, Wenyu; Wu, Jian; Dong, Yucheng</t>
  </si>
  <si>
    <t>Integrating consensus reaching processes in multi-criteria sorting problems: A majority rule sorting-based approach</t>
  </si>
  <si>
    <t>Group Decision and Negotiation</t>
  </si>
  <si>
    <t>0926-2644</t>
  </si>
  <si>
    <t>期刊</t>
  </si>
  <si>
    <t>Tourism demand forecasting with multi-source data: a hybrid model incorporating seasonal-trend decomposition</t>
  </si>
  <si>
    <t/>
  </si>
  <si>
    <t>Annals of Operations Research</t>
  </si>
  <si>
    <t>0254-5330</t>
  </si>
  <si>
    <t>10.1007/s10479-025-06832-0</t>
  </si>
  <si>
    <t>张震</t>
  </si>
  <si>
    <t>梁倩; 扈衷权; 张震; 王浩旻</t>
  </si>
  <si>
    <t>Liang, Qian; Hu, Zhongquan; Zhang, Zhen; Wang, Haomin</t>
  </si>
  <si>
    <t>2026</t>
  </si>
  <si>
    <t>考虑情境依赖决策行为的多准则决策偏好学习方法</t>
  </si>
  <si>
    <t>A multi-criteria preference learning method considering context-dependent decision behavior</t>
  </si>
  <si>
    <t>10.16381/j.cnki.issn1003-207x.2024.1896</t>
  </si>
  <si>
    <t>Liang, Qian; Yu, Wenyu; Zhang, Zhen; Chiclana, Francisco</t>
  </si>
  <si>
    <t>Targeting the right person: An optimization-driven framework for persuader selection in social networks with opinion evolution</t>
  </si>
  <si>
    <t>216-235</t>
  </si>
  <si>
    <t>10.1016/j.ejor.2026.04.023</t>
  </si>
  <si>
    <t>Liu, Yaya; Li, Jiaming; Zhang, Zhen; Wu, Jian; Rodríguez, Rosa M; Martínez, Luis</t>
  </si>
  <si>
    <t>Identification and management of non-cooperative behaviors in large-scale group decision-making: Review, taxonomy and challenges from an LLM perspective</t>
  </si>
  <si>
    <t>316</t>
  </si>
  <si>
    <t>131876</t>
  </si>
  <si>
    <t>10.1016/j.eswa.2026.131876</t>
  </si>
  <si>
    <t>Jin, Yuan; Zhang, Zhen</t>
  </si>
  <si>
    <t>KRAM: Knowledge-driven robust training against label noise for medication recommendation</t>
  </si>
  <si>
    <t>310</t>
  </si>
  <si>
    <t>131330</t>
  </si>
  <si>
    <t>10.1016/j.eswa.2026.131330</t>
  </si>
  <si>
    <t>Zhang, Zhen; Luo, Jize; Yu, Wenyu; Li, Zhuolin; Chiclana, Francisco</t>
  </si>
  <si>
    <t>Integrating personalized individual semantics and consistency control to support consensus reaching in 2-rank group decision making</t>
  </si>
  <si>
    <t>56</t>
  </si>
  <si>
    <t>2</t>
  </si>
  <si>
    <t>800-811</t>
  </si>
  <si>
    <t>10.1109/TSMC.2025.3597963</t>
  </si>
  <si>
    <t>Zhang, Zhen;Yu, Wenyu</t>
  </si>
  <si>
    <t>Gao, Yuan; Zhang, Zhen; Yu, Wenyu</t>
  </si>
  <si>
    <t>Preference learning for multi-criteria sorting with interacting criteria: A framework integrating threshold-based value-driven sorting procedure with attention network</t>
  </si>
  <si>
    <t>125</t>
  </si>
  <si>
    <t>103443</t>
  </si>
  <si>
    <t>10.1016/j.inffus.2025.103443</t>
  </si>
  <si>
    <t>Li, Zhuolin; Zhang, Zhen; Pedrycz, Witold</t>
  </si>
  <si>
    <t>2025</t>
  </si>
  <si>
    <t>An incremental preference elicitation-based approach to learning potentially non-monotonic preferences in multi-criteria sorting</t>
  </si>
  <si>
    <t>323</t>
  </si>
  <si>
    <t>553-570</t>
  </si>
  <si>
    <t>10.1016/j.ejor.2024.11.047</t>
  </si>
  <si>
    <t>Integrating machine learning models to learn potentially non-monotonic preferences for multi-criteria sorting from large-scale assignment examples</t>
  </si>
  <si>
    <t>131</t>
  </si>
  <si>
    <t>103219</t>
  </si>
  <si>
    <t>10.1016/j.omega.2024.103219</t>
  </si>
  <si>
    <r>
      <rPr>
        <sz val="11"/>
        <color theme="1"/>
        <rFont val="宋体"/>
        <family val="3"/>
        <charset val="134"/>
      </rPr>
      <t>Omega</t>
    </r>
    <r>
      <rPr>
        <sz val="11"/>
        <color theme="1"/>
        <rFont val="宋体"/>
        <family val="3"/>
        <charset val="134"/>
      </rPr>
      <t>期刊最佳论文奖2025</t>
    </r>
  </si>
  <si>
    <t>2025 Best Paper Award of Omega</t>
  </si>
  <si>
    <t>Yu, Wenyu; Li, Zhuolin</t>
  </si>
  <si>
    <t>Zhang, Zhen; Li, Zhuolin; Yu, Wenyu</t>
  </si>
  <si>
    <t>Lexicographic optimization-based approaches to learning a representative model for multi-criteria sorting with non-monotonic criteria</t>
  </si>
  <si>
    <t>175</t>
  </si>
  <si>
    <t>106917</t>
  </si>
  <si>
    <t>10.1016/j.cor.2024.106917</t>
  </si>
  <si>
    <t>Li, Zhuolin; Zhang, Zhen</t>
  </si>
  <si>
    <t>Modeling personalized individual semantics in multicriteria decision making with incomplete linguistic preference relations: A preference disaggregation perspective</t>
  </si>
  <si>
    <t>55</t>
  </si>
  <si>
    <t>1</t>
  </si>
  <si>
    <t>390-403</t>
  </si>
  <si>
    <t>10.1109/TSMC.2024.3472699</t>
  </si>
  <si>
    <t>Generation of granular-balls for clustering based on the principle of justifiable granularity</t>
  </si>
  <si>
    <t>1687-1700</t>
  </si>
  <si>
    <t>10.1109/TCYB.2025.3534195</t>
  </si>
  <si>
    <t>Liu, Yaya; Wang, Yue; Rodríguez, Rosa M; Zhang, Zhen; Martínez, Luis</t>
  </si>
  <si>
    <t>Automatic consensus models to balance consensus cost, consistency level and consensus degree with attitudinal trust mechanism</t>
  </si>
  <si>
    <t>716</t>
  </si>
  <si>
    <t>122222</t>
  </si>
  <si>
    <t>10.1016/j.ins.2025.122222</t>
  </si>
  <si>
    <t>Liang, Qian; Zhang, Zhen; Su, Yingsheng</t>
  </si>
  <si>
    <t>Constructive preference elicitation for multi-criteria decision analysis using an estimate-then-select strategy</t>
  </si>
  <si>
    <t>118</t>
  </si>
  <si>
    <t>102926</t>
  </si>
  <si>
    <t>10.1016/j.inffus.2024.102926</t>
  </si>
  <si>
    <t>Wu, Jian</t>
  </si>
  <si>
    <t>Cao, Mingshuo; Gai, Tiantian; Wu, Jian; Chiclana, Francisco; Zhang, Zhen; Dong, Yucheng; Herrera-Viedma, Enrique; Herrera, Francisco</t>
  </si>
  <si>
    <t>Social network group decision making: Characterization, taxonomy, challenges and future directions from an AI and LLMs perspective</t>
  </si>
  <si>
    <t>120</t>
  </si>
  <si>
    <t>103107</t>
  </si>
  <si>
    <t>10.1016/j.inffus.2025.103107</t>
  </si>
  <si>
    <t>Chai, Shanglei; Zhang, Zixuan; Zhang, Zhen</t>
  </si>
  <si>
    <t>Carbon price prediction for China's ETS pilots using variational mode decomposition and optimized extreme learning machine</t>
  </si>
  <si>
    <t>345</t>
  </si>
  <si>
    <t>2-3</t>
  </si>
  <si>
    <t>809-830</t>
  </si>
  <si>
    <t>10.1007/s10479-021-04392-7</t>
  </si>
  <si>
    <t>Abedin, Mohammad Zoynul</t>
  </si>
  <si>
    <t>Chai, Shanglei; Chu, Wenjun; Zhang, Zhen; Li, Zhilong; Abedin, Mohammad Zoynul</t>
  </si>
  <si>
    <t>Dynamic nonlinear connectedness between the green bonds, clean energy, and stock price: the impact of the COVID-19 pandemic</t>
  </si>
  <si>
    <t>1137-1164</t>
  </si>
  <si>
    <t>10.1007/s10479-021-04452-y</t>
  </si>
  <si>
    <t>Yu, Gaofeng; Zhang, Zhen; Wu, Jian</t>
  </si>
  <si>
    <r>
      <rPr>
        <sz val="11"/>
        <color theme="1"/>
        <rFont val="Calibri"/>
        <family val="2"/>
      </rPr>
      <t>A stability analysis for the online retailing cyber security situation piecewise variable weight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Calibri"/>
        <family val="2"/>
      </rPr>
      <t>rating method</t>
    </r>
  </si>
  <si>
    <t>Applied Intelligence</t>
  </si>
  <si>
    <t>0924-669X</t>
  </si>
  <si>
    <t>18</t>
  </si>
  <si>
    <t>1144</t>
  </si>
  <si>
    <t>10.1007/s10489-025-06860-0</t>
  </si>
  <si>
    <t>专著</t>
  </si>
  <si>
    <t>Zhang, Zhen; Yu, Wenyu; Li, Zhuolin</t>
  </si>
  <si>
    <t>2024</t>
  </si>
  <si>
    <t>Modeling Complex Linguistic Information to Support Group Decision Making Under Uncertainty - Theories, Methods and Applications</t>
  </si>
  <si>
    <t>Singapore</t>
  </si>
  <si>
    <t>Springer Nature</t>
  </si>
  <si>
    <t>10.1007/978-981-97-3584-6</t>
  </si>
  <si>
    <t>978-981-97-3583-9</t>
  </si>
  <si>
    <t>Gai, Tiantian; Wu, Jian; Liang, Changyong; Cao, Mingshuo; Zhang, Zhen</t>
  </si>
  <si>
    <t>A quality function deployment model by social network and group decision making: Application to product design of e-commerce platforms</t>
  </si>
  <si>
    <t>Engineering Applications of Artificial Intelligence</t>
  </si>
  <si>
    <t>0952-1976</t>
  </si>
  <si>
    <t>133</t>
  </si>
  <si>
    <t>108509</t>
  </si>
  <si>
    <t>10.1016/j.engappai.2024.108509</t>
  </si>
  <si>
    <t>Cheng, Dong</t>
  </si>
  <si>
    <t>Liang, Qian; Luo, Chenyu; Zhang, Zhen; Cheng, Dong</t>
  </si>
  <si>
    <t>Mining maximum ordinal-cardinal consensus for large-scale group decision making with incomplete fuzzy preference relations</t>
  </si>
  <si>
    <t>IEEE Transactions on Fuzzy Systems</t>
  </si>
  <si>
    <t>1063-6706</t>
  </si>
  <si>
    <t>32</t>
  </si>
  <si>
    <t>6</t>
  </si>
  <si>
    <t>3542-3555</t>
  </si>
  <si>
    <t>10.1109/TFUZZ.2024.3375863</t>
  </si>
  <si>
    <t>Consensus reaching for ordinal classification-based group decision making with heterogeneous preference information</t>
  </si>
  <si>
    <t>75</t>
  </si>
  <si>
    <t>224-245</t>
  </si>
  <si>
    <t>10.1080/01605682.2023.2186806</t>
  </si>
  <si>
    <t>Threshold-based value-driven method to support consensus reaching in multicriteria group sorting problems: A minimum adjustment perspective</t>
  </si>
  <si>
    <t>IEEE Transactions on Computational Social Systems</t>
  </si>
  <si>
    <t>2329-924X</t>
  </si>
  <si>
    <t>11</t>
  </si>
  <si>
    <t>1230-1243</t>
  </si>
  <si>
    <t>10.1109/TCSS.2023.3251351</t>
  </si>
  <si>
    <t>Li, Peng; Xu, Zhiwei; Zhang, Zhen; Li, Zhuolin; Wei, Cuiping</t>
  </si>
  <si>
    <t>2023</t>
  </si>
  <si>
    <t>Consensus reaching in multi-criteria social network group decision making: A stochastic multicriteria acceptability analysis-based method</t>
  </si>
  <si>
    <t>97</t>
  </si>
  <si>
    <t>101825</t>
  </si>
  <si>
    <t>10.1016/j.inffus.2023.101825</t>
  </si>
  <si>
    <t>Liu, Yujia</t>
  </si>
  <si>
    <t>Wu, Jian; Zhang, Guangyin; Xing, Yumei; Liu, Yujia; Zhang, Zhen; Dong, Yucheng; Herrera-Viedma, Enrique</t>
  </si>
  <si>
    <t>A sentiment analysis driven method based on public and personal preferences with correlated attributes to select online doctors</t>
  </si>
  <si>
    <t>53</t>
  </si>
  <si>
    <t>16</t>
  </si>
  <si>
    <t>19093-19114</t>
  </si>
  <si>
    <t>10.1007/s10489-023-04485-9</t>
  </si>
  <si>
    <t>Yang, Yiling; Gai, Tiantian; Cao, Mingshuo; Zhang, Zhen; Zhang, Hengjie; Wu, Jian</t>
  </si>
  <si>
    <t>Application of group decision making in shipping industry 4.0: Bibliometric analysis, trends, and future directions</t>
  </si>
  <si>
    <t>Systems</t>
  </si>
  <si>
    <t>2079-8954</t>
  </si>
  <si>
    <t>69</t>
  </si>
  <si>
    <t>10.3390/systems11020069</t>
  </si>
  <si>
    <t>Zhang, Zhen; Li, Zhuolin</t>
  </si>
  <si>
    <t>Consensus-based TOPSIS-Sort-B for multi-criteria sorting in the context of group decision-making</t>
  </si>
  <si>
    <t>325</t>
  </si>
  <si>
    <t>911-938</t>
  </si>
  <si>
    <t>10.1007/s10479-022-04985-w</t>
  </si>
  <si>
    <t>Gai, Tiantian; Cao, Mingshuo; Chiclana, Francisco; Zhang, Zhen; Dong, Yucheng; Herrera-Viedma, Enrique; Wu, Jian</t>
  </si>
  <si>
    <t>Consensus-trust driven bidirectional feedback mechanism for improving consensus in social network large-group decision making</t>
  </si>
  <si>
    <t>45-74</t>
  </si>
  <si>
    <t>10.1007/s10726-022-09798-7</t>
  </si>
  <si>
    <r>
      <rPr>
        <sz val="11"/>
        <color theme="1"/>
        <rFont val="宋体"/>
        <family val="3"/>
        <charset val="134"/>
      </rPr>
      <t>张震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宋体"/>
        <family val="3"/>
        <charset val="134"/>
      </rPr>
      <t>李卓琳</t>
    </r>
  </si>
  <si>
    <t>考虑个性化语义和一致性的群体决策共识模型</t>
  </si>
  <si>
    <t>A consensus model for group decision making by considering personalized individual semantics and consistency</t>
  </si>
  <si>
    <t>管理工程学报</t>
  </si>
  <si>
    <t>Journal of Industrial Engineering and Engineering Management</t>
  </si>
  <si>
    <t>37</t>
  </si>
  <si>
    <t>157-168</t>
  </si>
  <si>
    <t>10.13587/j.cnki.jieem.2023.06.014</t>
  </si>
  <si>
    <t>Chen, Youwei</t>
  </si>
  <si>
    <t>Chen, Youwei; Zhao, Pengwei; Zhang, Zhen; Bai, Juncheng; Guo, Yuqi</t>
  </si>
  <si>
    <t>2022</t>
  </si>
  <si>
    <t>A stock price forecasting model integrating complementary ensemble empirical mode decomposition and independent component analysis</t>
  </si>
  <si>
    <t>International Journal of Computational Intelligence Systems</t>
  </si>
  <si>
    <t>1875-6891</t>
  </si>
  <si>
    <t>15</t>
  </si>
  <si>
    <t>10.1007/s44196-022-00140-2</t>
  </si>
  <si>
    <t>Chai, Shanglei; Yang, Xiaoli; Zhang, Zhen; Abedin, Mohammad Zoynul; Lucey, Brian</t>
  </si>
  <si>
    <t>Regional imbalances of market efficiency in China's pilot emission trading schemes (ETS): A multifractal perspective</t>
  </si>
  <si>
    <t>Research in International Business and Finance</t>
  </si>
  <si>
    <t>0275-5319</t>
  </si>
  <si>
    <t>101758</t>
  </si>
  <si>
    <t>10.1016/j.ribaf.2022.101758</t>
  </si>
  <si>
    <t>Guo, Chonghui</t>
  </si>
  <si>
    <t>Tang, Lin; Sun, Leilei; Guo, Chonghui; Zhang, Zhen</t>
  </si>
  <si>
    <t>Adaptive spectral affinity propagation clustering</t>
  </si>
  <si>
    <t>Journal of Systems Engineering and Electronics</t>
  </si>
  <si>
    <t>1004-4132</t>
  </si>
  <si>
    <t>33</t>
  </si>
  <si>
    <t>647-664</t>
  </si>
  <si>
    <t>10.23919/JSEE.2022.000060</t>
  </si>
  <si>
    <t>Consensus reaching with consistency control in group decision making with incomplete hesitant fuzzy linguistic preference relations</t>
  </si>
  <si>
    <t>170</t>
  </si>
  <si>
    <t>108311</t>
  </si>
  <si>
    <t>10.1016/j.cie.2022.108311</t>
  </si>
  <si>
    <t>Liu, Yating; Li, Yao; Zhang, Zhen; Xu, Yi; Dong, Yucheng</t>
  </si>
  <si>
    <t>Classification-based strategic weight manipulation in multiple attribute decision making</t>
  </si>
  <si>
    <t>197</t>
  </si>
  <si>
    <t>116781</t>
  </si>
  <si>
    <t>10.1016/j.eswa.2022.116781</t>
  </si>
  <si>
    <t>Personalized individual semantics-based consistency control and consensus reaching in linguistic group decision making</t>
  </si>
  <si>
    <t>52</t>
  </si>
  <si>
    <t>9</t>
  </si>
  <si>
    <t>5623-5635</t>
  </si>
  <si>
    <t>10.1109/TSMC.2021.3129510</t>
  </si>
  <si>
    <t>Gao, Yuan; Zhang, Zhen</t>
  </si>
  <si>
    <t>Consensus reaching with non-cooperative behavior management for personalized individual semantics-based social network group decision making</t>
  </si>
  <si>
    <t>73</t>
  </si>
  <si>
    <t>2518-2535</t>
  </si>
  <si>
    <t>10.1080/01605682.2021.1997654</t>
  </si>
  <si>
    <t>Dong, Qingxing; Zhang, Zhen</t>
  </si>
  <si>
    <t>Dong, Qingxing; Sheng, Qi; Martínez, Luis; Zhang, Zhen</t>
  </si>
  <si>
    <t>An adaptive group decision making framework: Individual and local world opinion based opinion dynamics</t>
  </si>
  <si>
    <t>78</t>
  </si>
  <si>
    <t>218-231</t>
  </si>
  <si>
    <t>10.1016/j.inffus.2021.09.013</t>
  </si>
  <si>
    <t>Zhang, Zhen; Li, Zhuolin; Gao, Yuan</t>
  </si>
  <si>
    <t>2021</t>
  </si>
  <si>
    <t>Consensus reaching for group decision making with multi-granular unbalanced linguistic information: A bounded confidence and minimum adjustment-based approach</t>
  </si>
  <si>
    <t>74</t>
  </si>
  <si>
    <t>96-110</t>
  </si>
  <si>
    <t>10.1016/j.inffus.2021.04.006</t>
  </si>
  <si>
    <t>董玉成</t>
  </si>
  <si>
    <t>Dong, Yucheng</t>
  </si>
  <si>
    <r>
      <rPr>
        <sz val="11"/>
        <color theme="1"/>
        <rFont val="微软雅黑"/>
        <family val="2"/>
        <charset val="134"/>
      </rPr>
      <t>张恒杰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王芳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董庆兴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巩在武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吴坚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吴志彬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许叶军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张震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董玉成</t>
    </r>
  </si>
  <si>
    <t>Zhang, Hengjie; Wang, Fang; Dong, Qingxing; Gong, Zaiwu; Wu, Jian; Wu, Zhibin; Xu, Yejun; Zhang, Zhen; Dong, Yucheng</t>
  </si>
  <si>
    <t>群体共识决策的研究进展与展望</t>
  </si>
  <si>
    <t>Consensus reaching in group decision making: Research progress and prospect</t>
  </si>
  <si>
    <t>电子科技大学学报（社科版）</t>
  </si>
  <si>
    <t>Journal of University of Electronic Science and Technology of China (Social Sciences Edition)</t>
  </si>
  <si>
    <t>23</t>
  </si>
  <si>
    <t>26-37</t>
  </si>
  <si>
    <t>10.14071/j.1008-8105(2021)-1002</t>
  </si>
  <si>
    <t>Tang, Lin; Sun, Leilei; Guo, Chonghui; Zuo, Yuqian; Zhang, Zhen</t>
  </si>
  <si>
    <t>A simulation research towards better leverage of sales ranking</t>
  </si>
  <si>
    <t>Journal of Systems Science and Systems Engineering</t>
  </si>
  <si>
    <t>1004-3756</t>
  </si>
  <si>
    <t>30</t>
  </si>
  <si>
    <t>105-122</t>
  </si>
  <si>
    <t>10.1007/s11518-021-5478-4</t>
  </si>
  <si>
    <t>Chai, Shanglei; Zhang, Zhen; Du, Mo; Jiang, Lei</t>
  </si>
  <si>
    <t>2020</t>
  </si>
  <si>
    <t>Volatility similarity and spillover effects in G20 stock market comovements: An ICA-based ARMA-APARCH-M approach</t>
  </si>
  <si>
    <t>Complexity</t>
  </si>
  <si>
    <t>1076-2787</t>
  </si>
  <si>
    <t>8872307</t>
  </si>
  <si>
    <t>10.1155/2020/8872307</t>
  </si>
  <si>
    <t>Zhang, Zhen; Gao, Junliang; Gao, Yuan; Yu, Wenyu</t>
  </si>
  <si>
    <t>Two-sided matching decision making with multi-granular hesitant fuzzy linguistic term sets and incomplete criteria weight information</t>
  </si>
  <si>
    <t>168</t>
  </si>
  <si>
    <t>114311</t>
  </si>
  <si>
    <t>10.1016/j.eswa.2020.114311</t>
  </si>
  <si>
    <t>Dong,Yucheng</t>
  </si>
  <si>
    <t>Wu, Yuzhu; Zhang, Zhen; Kou, Gang; Zhang, Hengjie; Chao, Xiangrui; Li, Cong-Cong; Dong, Yucheng; Herrera, Francisco</t>
  </si>
  <si>
    <t>Distributed linguistic representations in decision making: Taxonomy, key elements and applications, and challenges in data science and explainable artificial intelligence</t>
  </si>
  <si>
    <t>65</t>
  </si>
  <si>
    <t>165-178</t>
  </si>
  <si>
    <t>10.1016/j.inffus.2020.08.018</t>
  </si>
  <si>
    <t>Zhang, Zhen; Kou, Xinyue; Yu, Wenyu; Gao, Yuan</t>
  </si>
  <si>
    <t>Consistency improvement for fuzzy preference relations with self-confidence: An application in two-sided matching decision making</t>
  </si>
  <si>
    <t>72</t>
  </si>
  <si>
    <t>8</t>
  </si>
  <si>
    <t>1914-1927</t>
  </si>
  <si>
    <t>10.1080/01605682.2020.1748529</t>
  </si>
  <si>
    <t>Yu, Wenyu; Zhang, Zhen; Zhong, Qiuyan</t>
  </si>
  <si>
    <t>Consensus reaching for MAGDM with multi-granular hesitant fuzzy linguistic term sets: a minimum adjustment-based approach</t>
  </si>
  <si>
    <t>300</t>
  </si>
  <si>
    <t>443-466</t>
  </si>
  <si>
    <t>10.1007/s10479-019-03432-7</t>
  </si>
  <si>
    <t>会议</t>
  </si>
  <si>
    <t>Some models to improve the worst consistency level of hesitant fuzzy preference relations</t>
  </si>
  <si>
    <t>the 14th International FLINS Conference on Robotics and Artificial Intelligence (FLINS 2020)</t>
  </si>
  <si>
    <t>327-335</t>
  </si>
  <si>
    <t>doi:10.1142/9789811223334_0040</t>
  </si>
  <si>
    <t>18-21 August 2020</t>
  </si>
  <si>
    <t>Cologne, Germany</t>
  </si>
  <si>
    <t>Zhang, Zhen; Gao, Yuan; Li, Zhuolin</t>
  </si>
  <si>
    <t>Consensus reaching for social network group decision making by considering leadership and bounded confidence</t>
  </si>
  <si>
    <t>Knowledge-Based Systems</t>
  </si>
  <si>
    <t>0950-7051</t>
  </si>
  <si>
    <t>204</t>
  </si>
  <si>
    <t>106240</t>
  </si>
  <si>
    <t>10.1016/j.knosys.2020.106240</t>
  </si>
  <si>
    <t>Zhang, Zhen; Yu, Wenyu; Martínez, Luis; Gao, Yuan</t>
  </si>
  <si>
    <t>Managing multigranular unbalanced hesitant fuzzy linguistic information in multiattribute large-scale group decision making: A linguistic distribution-based approach</t>
  </si>
  <si>
    <t>28</t>
  </si>
  <si>
    <t>2875-2889</t>
  </si>
  <si>
    <t>10.1109/TFUZZ.2019.2949758</t>
  </si>
  <si>
    <t>Mahmoudi, Amin; Javed, Saad Ahmed; Zhang, Zhen; Deng, Xiaopeng</t>
  </si>
  <si>
    <t>2019</t>
  </si>
  <si>
    <t>Grey group QUALIFLEX method: Application in project management</t>
  </si>
  <si>
    <t>the 14th International Conference on Intelligent Systems and Knowledge Engineering (ISKE)</t>
  </si>
  <si>
    <t>189-195</t>
  </si>
  <si>
    <t>10.1109/ISKE47853.2019.9170357</t>
  </si>
  <si>
    <t>14-16 November, 2019</t>
  </si>
  <si>
    <t>Dalian, China</t>
  </si>
  <si>
    <t>Zhang, Zhen; Gao, Yuan; Yu, Wenyu</t>
  </si>
  <si>
    <t>Group decision making with linguistic distribution preference relations: An interval numerical scale-based approach</t>
  </si>
  <si>
    <t>125-128</t>
  </si>
  <si>
    <t>10.1109/ISKE47853.2019.9170205</t>
  </si>
  <si>
    <t>Zhang, Zhen; Kou, Xinyue; Palomares, Iván; Yu, Wenyu; Gao, Junliang</t>
  </si>
  <si>
    <t>Stable two-sided matching decision making with incomplete fuzzy preference relations: A disappointment theory based approach</t>
  </si>
  <si>
    <t>84</t>
  </si>
  <si>
    <t>105730</t>
  </si>
  <si>
    <t>10.1016/j.asoc.2019.105730</t>
  </si>
  <si>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Calibri"/>
        <family val="2"/>
      </rPr>
      <t xml:space="preserve"> </t>
    </r>
  </si>
  <si>
    <t>Zhang, Zhen; Gao, Junliang; Yu, Wenyu</t>
  </si>
  <si>
    <t>Evaluating collaboration ability of R&amp;D team members: A multi-granular hesitant fuzzy linguistic approach</t>
  </si>
  <si>
    <t>the 11th Conference of the European Society for Fuzzy Logic and Technology (EUSFLAT 2019)</t>
  </si>
  <si>
    <t>30-36</t>
  </si>
  <si>
    <t>10.2991/eusflat-19.2019.5</t>
  </si>
  <si>
    <t>9-13 September, 2019</t>
  </si>
  <si>
    <t>Prague, Czech</t>
  </si>
  <si>
    <t>Lu, Jie</t>
  </si>
  <si>
    <t>Zheng, Yue; Zhang, Guangquan; Zhang, Zhen; Lu, Jie</t>
  </si>
  <si>
    <t>2018</t>
  </si>
  <si>
    <t>A reducibility method for the weak linear bilevel programming problems and a case study in principal-agent</t>
  </si>
  <si>
    <t>454-455</t>
  </si>
  <si>
    <t>46-58</t>
  </si>
  <si>
    <t>10.1016/j.ins.2018.04.045</t>
  </si>
  <si>
    <t>An optimization-based approach to aggregating multi-granular hesitant fuzzy linguistic term sets</t>
  </si>
  <si>
    <t>the 13th International FLINS Conference on Data Science and Knowledge Engineering for Sensing Decision Support (FLINS 2018)</t>
  </si>
  <si>
    <t>205-212</t>
  </si>
  <si>
    <t xml:space="preserve">10.1142/9789813273238_0028
</t>
  </si>
  <si>
    <t>21-24, August 2018</t>
  </si>
  <si>
    <t>Belfast, Northern Ireland, UK</t>
  </si>
  <si>
    <t>于文玉; 仲秋雁; 张震</t>
  </si>
  <si>
    <t>Yu, Wenyu; Zhong, Qiuyan; Zhang, Zhen</t>
  </si>
  <si>
    <t>权重信息不完全的多粒度犹豫模糊语言群决策</t>
  </si>
  <si>
    <t>Multi-granular hesitant fuzzy linguistic group decision making with incomplete weight information</t>
  </si>
  <si>
    <t>Systems Engineering --- Theory and Practice</t>
  </si>
  <si>
    <t>38</t>
  </si>
  <si>
    <t xml:space="preserve">777-785 </t>
  </si>
  <si>
    <t>10.12011/1000-6788(2018)03-0777-09</t>
  </si>
  <si>
    <t>Dong, Qingxing</t>
  </si>
  <si>
    <t>Zhang, Zhen; Kou, Xinyue; Dong, Qingxing</t>
  </si>
  <si>
    <t>Additive consistency analysis and improvement for hesitant fuzzy preference relations</t>
  </si>
  <si>
    <t>98</t>
  </si>
  <si>
    <t>118-128</t>
  </si>
  <si>
    <t>10.1016/j.eswa.2018.01.016</t>
  </si>
  <si>
    <t>Zhang, Zhen; Kou, Xinyue; Yu, Wenyu; Guo, Chonghui</t>
  </si>
  <si>
    <t>On priority weights and consistency for incomplete hesitant fuzzy preference relations</t>
  </si>
  <si>
    <t>143</t>
  </si>
  <si>
    <t>115-126</t>
  </si>
  <si>
    <t>10.1016/j.knosys.2017.12.010</t>
  </si>
  <si>
    <t>Yu, Wenyu; Zhang, Zhen; Zhong, Qiuyan; Sun, Leilei</t>
  </si>
  <si>
    <t>2017</t>
  </si>
  <si>
    <t>Extended TODIM for multi-criteria group decision making based on unbalanced hesitant fuzzy linguistic term sets</t>
  </si>
  <si>
    <t>114</t>
  </si>
  <si>
    <t>316-328</t>
  </si>
  <si>
    <t>10.1016/j.cie.2017.10.029</t>
  </si>
  <si>
    <t>Zhang, Zhen; Kou, Xinyue; Yu, Wenyu</t>
  </si>
  <si>
    <t>Two-sided matching decision making based on heterogeneous incomplete preference relations</t>
  </si>
  <si>
    <t>the 12th International Conference on Intelligent Systems and Knowledge Engineering (ISKE2017)</t>
  </si>
  <si>
    <t>1-6</t>
  </si>
  <si>
    <t>10.1109/ISKE.2017.8258739</t>
  </si>
  <si>
    <t>24-26 November, 2017</t>
  </si>
  <si>
    <t>Nanjing, China</t>
  </si>
  <si>
    <t>Wei, Wei; Guo, Chonghui; Chen, Jingfeng; Zhang, Zhen</t>
  </si>
  <si>
    <t>Textual topic evolution analysis based on term co-occurrence: A case study on the government work report of the State Council (1954-2017)</t>
  </si>
  <si>
    <t>10.1109/ISKE.2017.8258735</t>
  </si>
  <si>
    <t>A TODIM-based approach to large-scale group decision making with multi-granular unbalanced linguistic information</t>
  </si>
  <si>
    <t>the 2017 IEEE International Conference on Fuzzy Systems (FUZZ-IEEE)</t>
  </si>
  <si>
    <t>10.1109/FUZZ-IEEE.2017.8015576</t>
  </si>
  <si>
    <t>9-12 July, 2017</t>
  </si>
  <si>
    <t>Naples, Italy</t>
  </si>
  <si>
    <t>Zhang, Zhen; Guo, Chonghui</t>
  </si>
  <si>
    <t>Deriving priority weights from intuitionistic multiplicative preference relations under group decision-making settings</t>
  </si>
  <si>
    <t>68</t>
  </si>
  <si>
    <t>12</t>
  </si>
  <si>
    <t>1582-1599</t>
  </si>
  <si>
    <t>10.1057/s41274-016-0171-6</t>
  </si>
  <si>
    <t>Zhang, Zhen; Guo, Chonghui; Martínez, Luis</t>
  </si>
  <si>
    <t>Managing multigranular linguistic distribution assessments in large-scale multiattribute group decision making</t>
  </si>
  <si>
    <t>47</t>
  </si>
  <si>
    <t>3063-3076</t>
  </si>
  <si>
    <t>10.1109/TSMC.2016.2560521</t>
  </si>
  <si>
    <t>Zhang, Zhen; Yu, Wenyu; Guo, Chonghui</t>
  </si>
  <si>
    <t>2016</t>
  </si>
  <si>
    <t>Group decision making based on acceptably consistent interval multiplicative preference relations</t>
  </si>
  <si>
    <t>the 17th International Symposium on Knowledge and Systems Sciences (KSS 2016)</t>
  </si>
  <si>
    <t>165-174</t>
  </si>
  <si>
    <t>10.1007/978-981-10-2857-1_14</t>
  </si>
  <si>
    <t>4-6 November, 2016</t>
  </si>
  <si>
    <t>Kobe, Japan</t>
  </si>
  <si>
    <t>Minimum adjustment-based consistency and consensus models for group decision making with interval pairwise comparison matrices</t>
  </si>
  <si>
    <t>the 2016 IEEE International Conference on Fuzzy Systems (FUZZ-IEEE)</t>
  </si>
  <si>
    <t>1701-1708</t>
  </si>
  <si>
    <t>10.1109/FUZZ-IEEE.2016.7737895</t>
  </si>
  <si>
    <t>24-29 July, 2016</t>
  </si>
  <si>
    <t>Vancouver, Canada</t>
  </si>
  <si>
    <t>Fusing multi-granular unbalanced hesitant fuzzy linguistic information in group decision making</t>
  </si>
  <si>
    <t>872-879</t>
  </si>
  <si>
    <t>10.1109/FUZZ-IEEE.2016.7737780</t>
  </si>
  <si>
    <t>Fusion of heterogeneous incomplete hesitant preference relations in group decision making</t>
  </si>
  <si>
    <t>245-262</t>
  </si>
  <si>
    <t>10.1080/18756891.2016.1149999</t>
  </si>
  <si>
    <t>Notes on "Logarithmic least squares method to priority for group decision making with incomplete fuzzy preference relations"</t>
  </si>
  <si>
    <t>Applied Mathematical Modelling</t>
  </si>
  <si>
    <t>0307-904X</t>
  </si>
  <si>
    <t>40</t>
  </si>
  <si>
    <t>1788-1792</t>
  </si>
  <si>
    <t>10.1016/j.apm.2015.07.024</t>
  </si>
  <si>
    <t>A VIKOR-based approach to group decision making with uncertain preference ordinals and incomplete weight information</t>
  </si>
  <si>
    <t>Informatica</t>
  </si>
  <si>
    <t>0868-4952</t>
  </si>
  <si>
    <t>27</t>
  </si>
  <si>
    <t>689-708</t>
  </si>
  <si>
    <t>10.15388/Informatica.2016.106</t>
  </si>
  <si>
    <t>2015</t>
  </si>
  <si>
    <t>New operations of hesitant fuzzy linguistic term sets with applications in multi-attribute group decision making</t>
  </si>
  <si>
    <t>the 2015 IEEE International Conference on Fuzzy Systems (FUZZ-IEEE)</t>
  </si>
  <si>
    <t>1-8</t>
  </si>
  <si>
    <t>10.1109/FUZZ-IEEE.2015.7337835</t>
  </si>
  <si>
    <t>2-5 August, 2015</t>
  </si>
  <si>
    <t>Istanbul, Turkey</t>
  </si>
  <si>
    <t>Consistency and consensus models for group decision-making with uncertain 2-tuple linguistic preference relations</t>
  </si>
  <si>
    <t>International Journal of Systems Science</t>
  </si>
  <si>
    <t>0020-7721</t>
  </si>
  <si>
    <t>2572-2587</t>
  </si>
  <si>
    <t>10.1080/00207721.2014.999732</t>
  </si>
  <si>
    <t>Guo, Chonghui; Wang, Jiajia; Zhang, Zhen</t>
  </si>
  <si>
    <t>2014</t>
  </si>
  <si>
    <t>Evolutionary community structure discovery in dynamic weighted networks</t>
  </si>
  <si>
    <t>Physica A: Statistical Mechanics and its Applications</t>
  </si>
  <si>
    <t>1873-2119</t>
  </si>
  <si>
    <t>413</t>
  </si>
  <si>
    <t>565-576</t>
  </si>
  <si>
    <t>10.1016/j.physa.2014.07.004</t>
  </si>
  <si>
    <t>An approach to group decision making with heterogeneous incomplete uncertain preference relations</t>
  </si>
  <si>
    <t>71</t>
  </si>
  <si>
    <t>27-36</t>
  </si>
  <si>
    <t>10.1016/j.cie.2014.02.004</t>
  </si>
  <si>
    <t>Consistency-based algorithms to estimate missing elements for uncertain 2-tuple linguistic preference relations</t>
  </si>
  <si>
    <t>7</t>
  </si>
  <si>
    <t>5</t>
  </si>
  <si>
    <t>924-936</t>
  </si>
  <si>
    <t>10.1080/18756891.2013.856254</t>
  </si>
  <si>
    <t>Zhang, Zhen; Zhang, Guangquan; Lu, Jie; Guo, Chonghui</t>
  </si>
  <si>
    <t>2013</t>
  </si>
  <si>
    <t>A fuzzy tri-level decision making algorithm and its application in supply chain</t>
  </si>
  <si>
    <t>the 8th conference of the Euro-pean Society for Fuzzy Logic and Technology (EUSFLAT 2013)</t>
  </si>
  <si>
    <t>154-160</t>
  </si>
  <si>
    <t>10.2991/eusflat.2013.22</t>
  </si>
  <si>
    <t>11-13 September, 2013</t>
  </si>
  <si>
    <t>Milan, Italy</t>
  </si>
  <si>
    <t>郭崇慧</t>
  </si>
  <si>
    <r>
      <rPr>
        <sz val="11"/>
        <color theme="1"/>
        <rFont val="微软雅黑"/>
        <family val="2"/>
        <charset val="134"/>
      </rPr>
      <t>张震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郭崇慧</t>
    </r>
  </si>
  <si>
    <t>2012</t>
  </si>
  <si>
    <t>基于相对熵的多粒度不确定语言型群决策方法</t>
  </si>
  <si>
    <t>A multi-granularity uncertain linguistic group decision making method based on relative entropy</t>
  </si>
  <si>
    <t>大连理工大学学报</t>
  </si>
  <si>
    <t>Journal of Dalian University of Technology</t>
  </si>
  <si>
    <t>921-927</t>
  </si>
  <si>
    <t xml:space="preserve">
10.7511/dllgxb201206024</t>
  </si>
  <si>
    <r>
      <rPr>
        <sz val="11"/>
        <color theme="1"/>
        <rFont val="宋体"/>
        <family val="3"/>
        <charset val="134"/>
      </rPr>
      <t xml:space="preserve">Guo, Chonghui; </t>
    </r>
    <r>
      <rPr>
        <sz val="11"/>
        <color theme="1"/>
        <rFont val="宋体"/>
        <family val="3"/>
        <charset val="134"/>
      </rPr>
      <t>郭崇慧</t>
    </r>
  </si>
  <si>
    <t>Guo, Chonghui; 郭崇慧</t>
  </si>
  <si>
    <t>A method for multi-granularity uncertain linguistic group decision making with incomplete weight information</t>
  </si>
  <si>
    <t>26</t>
  </si>
  <si>
    <t>111-119</t>
  </si>
  <si>
    <t>10.1016/j.knosys.2011.07.009</t>
  </si>
  <si>
    <r>
      <rPr>
        <sz val="11"/>
        <color theme="1"/>
        <rFont val="宋体"/>
        <family val="3"/>
        <charset val="134"/>
      </rPr>
      <t xml:space="preserve">Guo, Chong-Hui; </t>
    </r>
    <r>
      <rPr>
        <sz val="11"/>
        <color theme="1"/>
        <rFont val="宋体"/>
        <family val="3"/>
        <charset val="134"/>
      </rPr>
      <t>郭崇慧</t>
    </r>
  </si>
  <si>
    <t>Guo, Chong-Hui; 郭崇慧</t>
  </si>
  <si>
    <t>Zhang, Zhen; Guo, Chong-Hui</t>
  </si>
  <si>
    <t>2011</t>
  </si>
  <si>
    <t>A hybrid multiple attributes two-sided matching decision making method with incomplete weight information</t>
  </si>
  <si>
    <t xml:space="preserve"> the 11th International Workshop on Meta-synthesis and Complex Systems (MCS 2011)</t>
  </si>
  <si>
    <t>6889</t>
  </si>
  <si>
    <t>272-283</t>
  </si>
  <si>
    <t>10.1007/978-3-642-23605-1_28</t>
  </si>
  <si>
    <t>7-9 September, 2011</t>
  </si>
  <si>
    <t xml:space="preserve"> Lanzhou, China</t>
  </si>
  <si>
    <r>
      <rPr>
        <sz val="11"/>
        <color theme="1"/>
        <rFont val="微软雅黑"/>
        <family val="2"/>
        <charset val="134"/>
      </rPr>
      <t>郭崇慧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张震</t>
    </r>
  </si>
  <si>
    <t>Guo, Chonghui; Zhang, Zhen</t>
  </si>
  <si>
    <t>基于组合评价方法的关联规则兴趣度评价</t>
  </si>
  <si>
    <t>Interestingness evaluation of association rules based on combination evaluation method</t>
  </si>
  <si>
    <t>情报学报</t>
  </si>
  <si>
    <t>Journal of the China Society for Scientific and Technical Information</t>
  </si>
  <si>
    <t>353-360</t>
  </si>
  <si>
    <t xml:space="preserve">
10.3772/j.issn.1000-0135.2011.04.003</t>
  </si>
  <si>
    <t>Association rules evaluation by a hybrid multiple criteria decision method</t>
  </si>
  <si>
    <t>International Journal of Knowledge and Systems Science</t>
  </si>
  <si>
    <t>1947-8208</t>
  </si>
  <si>
    <t>14-25</t>
  </si>
  <si>
    <t>10.4018/jkss.2011070102</t>
  </si>
  <si>
    <t>柴尚蕾; 郭崇慧; 张震</t>
  </si>
  <si>
    <t>Chai, Shanglei; Guo, Chonghui; Zhang, Zhen</t>
  </si>
  <si>
    <t>国际股指波动性的非对称效应异方差模型及聚类分析</t>
  </si>
  <si>
    <t>Asymmetric and heteroskedastic model of volatility of international stock index and its clustering analysis</t>
  </si>
  <si>
    <t>系统管理学报</t>
  </si>
  <si>
    <t>Journal of Systems and Management</t>
  </si>
  <si>
    <t>20</t>
  </si>
  <si>
    <t>136-142</t>
  </si>
  <si>
    <t xml:space="preserve">
CNKI:SUN:XTGL.0.2011-02-003</t>
  </si>
  <si>
    <t>张震; 郭崇慧</t>
  </si>
  <si>
    <t>一种基于二元语义信息处理的多属性群决策方法</t>
  </si>
  <si>
    <t>Multiple attributes group decision making method based on two-tuple linguistic information processing</t>
  </si>
  <si>
    <t>控制与决策</t>
  </si>
  <si>
    <t>Control and Decision</t>
  </si>
  <si>
    <t>1881-1885</t>
  </si>
  <si>
    <t>CNKI:SUN:KZYC.0.2011-12-024</t>
  </si>
  <si>
    <t>2009</t>
  </si>
  <si>
    <t>Ranking Association Rules by TOPSIS Method with Combination Weights</t>
  </si>
  <si>
    <t>the 10th International Symposium on Knowledge and Systems Sciences (KSS 2009)</t>
  </si>
  <si>
    <t>3-4 December 2009</t>
  </si>
  <si>
    <t>Hong Kong, China</t>
  </si>
  <si>
    <t>1213-1243</t>
    <phoneticPr fontId="9" type="noConversion"/>
  </si>
  <si>
    <t>Jia, Zihang; Zhang, Zhen</t>
    <phoneticPr fontId="9" type="noConversion"/>
  </si>
  <si>
    <t>会议</t>
    <phoneticPr fontId="9" type="noConversion"/>
  </si>
  <si>
    <t>A unified framework for clustering-oriented granular-ball quality assessment based on fuzzy information granules</t>
    <phoneticPr fontId="9" type="noConversion"/>
  </si>
  <si>
    <t>the 2026 International Conference of Granular-Ball Computing (ICGBC 2026)</t>
    <phoneticPr fontId="9" type="noConversion"/>
  </si>
  <si>
    <t>Chongqing, China</t>
    <phoneticPr fontId="9" type="noConversion"/>
  </si>
  <si>
    <t>16-18 October 2026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</si>
</sst>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charset val="134"/>
    </font>
    <font>
      <b/>
      <sz val="11"/>
      <color rgb="FFFFFFFF"/>
      <name val="宋体"/>
      <family val="3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rgb="FF1F1F1F"/>
      <name val="宋体"/>
      <family val="3"/>
      <charset val="134"/>
    </font>
    <font>
      <sz val="11"/>
      <color rgb="FF1F1F1F"/>
      <name val="Arial"/>
      <family val="2"/>
    </font>
    <font>
      <sz val="11"/>
      <color theme="1"/>
      <name val="Calibri"/>
      <family val="2"/>
      <charset val="134"/>
    </font>
    <font>
      <sz val="9"/>
      <name val="Calibri"/>
      <family val="2"/>
    </font>
    <font>
      <sz val="11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3F745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F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4" borderId="0" xfId="0" applyFill="1" applyBorder="1" applyAlignment="1">
      <alignment vertical="top" wrapText="1"/>
    </xf>
    <xf numFmtId="0" fontId="3" fillId="4" borderId="0" xfId="0" applyFont="1" applyFill="1" applyBorder="1" applyAlignment="1">
      <alignment vertical="top" wrapText="1"/>
    </xf>
    <xf numFmtId="0" fontId="0" fillId="4" borderId="0" xfId="0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vertical="top" wrapText="1"/>
    </xf>
    <xf numFmtId="0" fontId="0" fillId="3" borderId="0" xfId="0" applyFill="1" applyBorder="1" applyAlignment="1">
      <alignment horizontal="center" vertical="top" wrapText="1"/>
    </xf>
    <xf numFmtId="0" fontId="4" fillId="4" borderId="0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5" fillId="4" borderId="0" xfId="0" applyFont="1" applyFill="1" applyBorder="1" applyAlignment="1">
      <alignment vertical="top" wrapText="1"/>
    </xf>
    <xf numFmtId="0" fontId="8" fillId="4" borderId="0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8" fillId="4" borderId="0" xfId="0" applyFont="1" applyFill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</cellXfs>
  <cellStyles count="2">
    <cellStyle name="Normal" xfId="1" xr:uid="{00000000-0005-0000-0000-000031000000}"/>
    <cellStyle name="常规" xfId="0" builtinId="0"/>
  </cellStyles>
  <dxfs count="5">
    <dxf>
      <font>
        <strike val="0"/>
      </font>
      <fill>
        <patternFill patternType="solid">
          <bgColor theme="2"/>
        </patternFill>
      </fill>
    </dxf>
    <dxf>
      <font>
        <strike val="0"/>
      </font>
      <fill>
        <patternFill patternType="solid">
          <bgColor theme="2"/>
        </patternFill>
      </fill>
    </dxf>
    <dxf>
      <font>
        <strike val="0"/>
      </font>
      <fill>
        <patternFill patternType="solid">
          <bgColor rgb="FFFFFFFF"/>
        </patternFill>
      </fill>
    </dxf>
    <dxf>
      <font>
        <strike val="0"/>
      </font>
      <fill>
        <patternFill patternType="solid">
          <bgColor theme="0"/>
        </patternFill>
      </fill>
    </dxf>
    <dxf>
      <font>
        <strike val="0"/>
      </font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CR2026-w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y_Quartiles"/>
    </sheetNames>
    <sheetDataSet>
      <sheetData sheetId="0">
        <row r="2">
          <cell r="C2" t="str">
            <v>0007-9235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knosys.2017.12.010" TargetMode="External"/><Relationship Id="rId2" Type="http://schemas.openxmlformats.org/officeDocument/2006/relationships/hyperlink" Target="https://doi.org/10.1016/j.asoc.2019.105730" TargetMode="External"/><Relationship Id="rId1" Type="http://schemas.openxmlformats.org/officeDocument/2006/relationships/hyperlink" Target="https://doi.org/10.1016/j.eswa.2026.131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15"/>
  <sheetViews>
    <sheetView tabSelected="1" topLeftCell="I1" workbookViewId="0">
      <pane ySplit="1" topLeftCell="A30" activePane="bottomLeft" state="frozen"/>
      <selection pane="bottomLeft" activeCell="AE30" sqref="AE30"/>
    </sheetView>
  </sheetViews>
  <sheetFormatPr defaultColWidth="8.88671875" defaultRowHeight="79.8" customHeight="1" x14ac:dyDescent="0.3"/>
  <cols>
    <col min="1" max="1" width="8.88671875" style="3" customWidth="1"/>
    <col min="2" max="4" width="9.33203125" style="3" customWidth="1"/>
    <col min="5" max="5" width="19.109375" style="3" customWidth="1"/>
    <col min="6" max="6" width="27.44140625" style="3" customWidth="1"/>
    <col min="7" max="7" width="8.88671875" style="4"/>
    <col min="8" max="8" width="24.33203125" style="3" customWidth="1"/>
    <col min="9" max="9" width="30.6640625" style="3" customWidth="1"/>
    <col min="10" max="10" width="8.88671875" style="3"/>
    <col min="11" max="11" width="10.88671875" style="3" customWidth="1"/>
    <col min="12" max="13" width="16.77734375" style="3" customWidth="1"/>
    <col min="14" max="16" width="8.88671875" style="3"/>
    <col min="17" max="17" width="24.5546875" style="5" customWidth="1"/>
    <col min="18" max="24" width="8.88671875" style="3"/>
    <col min="25" max="25" width="8.88671875" style="4"/>
    <col min="26" max="16384" width="8.88671875" style="3"/>
  </cols>
  <sheetData>
    <row r="1" spans="1:32" s="1" customFormat="1" ht="7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79.8" hidden="1" customHeight="1" x14ac:dyDescent="0.3">
      <c r="A2" s="6" t="s">
        <v>32</v>
      </c>
      <c r="B2" s="6" t="s">
        <v>33</v>
      </c>
      <c r="C2" s="6" t="s">
        <v>34</v>
      </c>
      <c r="D2" s="6" t="s">
        <v>34</v>
      </c>
      <c r="E2" s="7" t="s">
        <v>35</v>
      </c>
      <c r="F2" s="7" t="s">
        <v>35</v>
      </c>
      <c r="G2" s="8"/>
      <c r="H2" s="7" t="s">
        <v>36</v>
      </c>
      <c r="I2" s="6" t="str">
        <f t="shared" ref="I2:I12" si="0">IF(B2="英文",H2,"")</f>
        <v>An optimization-based framework for data clustering with weighted granular balls based on the principle of justifiable granularity</v>
      </c>
      <c r="J2" s="6"/>
      <c r="K2" s="6" t="s">
        <v>37</v>
      </c>
      <c r="L2" s="6" t="str">
        <f t="shared" ref="L2:L7" si="1">IF(B2="英文",K2,"")</f>
        <v>Omega</v>
      </c>
      <c r="M2" s="6" t="s">
        <v>38</v>
      </c>
      <c r="N2" s="8"/>
      <c r="O2" s="8"/>
      <c r="P2" s="8"/>
      <c r="Q2" s="6"/>
      <c r="R2" s="8" t="str" cm="1">
        <f t="array" ref="R2">_xlfn.LET(_xlpm.issn,TRIM(M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" s="8" t="s">
        <v>39</v>
      </c>
      <c r="T2" s="8" t="s">
        <v>39</v>
      </c>
      <c r="U2" s="8" t="s">
        <v>39</v>
      </c>
      <c r="V2" s="8"/>
      <c r="W2" s="8"/>
      <c r="X2" s="9" t="s">
        <v>40</v>
      </c>
      <c r="Y2" s="8">
        <v>3</v>
      </c>
      <c r="Z2" s="8"/>
      <c r="AA2" s="8"/>
      <c r="AB2" s="8"/>
      <c r="AC2" s="8"/>
      <c r="AD2" s="8"/>
      <c r="AE2" s="8"/>
      <c r="AF2" s="8"/>
    </row>
    <row r="3" spans="1:32" s="2" customFormat="1" ht="79.8" hidden="1" customHeight="1" x14ac:dyDescent="0.3">
      <c r="A3" s="10" t="s">
        <v>32</v>
      </c>
      <c r="B3" s="10" t="s">
        <v>33</v>
      </c>
      <c r="C3" s="10" t="s">
        <v>34</v>
      </c>
      <c r="D3" s="10" t="s">
        <v>34</v>
      </c>
      <c r="E3" s="10" t="s">
        <v>41</v>
      </c>
      <c r="F3" s="10" t="s">
        <v>41</v>
      </c>
      <c r="G3" s="11"/>
      <c r="H3" s="10" t="s">
        <v>42</v>
      </c>
      <c r="I3" s="10" t="str">
        <f t="shared" si="0"/>
        <v>Sorting under multiple eyes: a multi-view preference learning framework for multi-criteria decision aiding</v>
      </c>
      <c r="J3" s="10"/>
      <c r="K3" s="10" t="s">
        <v>43</v>
      </c>
      <c r="L3" s="10" t="str">
        <f t="shared" si="1"/>
        <v>European Journal of Operational Research</v>
      </c>
      <c r="M3" s="10" t="s">
        <v>44</v>
      </c>
      <c r="N3" s="11"/>
      <c r="O3" s="11"/>
      <c r="P3" s="11"/>
      <c r="Q3" s="10"/>
      <c r="R3" s="8" t="str" cm="1">
        <f t="array" ref="R3">_xlfn.LET(_xlpm.issn,TRIM(M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" s="11" t="s">
        <v>39</v>
      </c>
      <c r="T3" s="11"/>
      <c r="U3" s="11" t="s">
        <v>39</v>
      </c>
      <c r="V3" s="11"/>
      <c r="W3" s="11"/>
      <c r="X3" s="11" t="s">
        <v>45</v>
      </c>
      <c r="Y3" s="11" t="s">
        <v>46</v>
      </c>
      <c r="Z3" s="11"/>
      <c r="AA3" s="11"/>
      <c r="AB3" s="11"/>
      <c r="AC3" s="11"/>
      <c r="AD3" s="11"/>
      <c r="AE3" s="11"/>
      <c r="AF3" s="11"/>
    </row>
    <row r="4" spans="1:32" ht="79.8" hidden="1" customHeight="1" x14ac:dyDescent="0.3">
      <c r="A4" s="6" t="s">
        <v>32</v>
      </c>
      <c r="B4" s="6" t="s">
        <v>33</v>
      </c>
      <c r="C4" s="6" t="s">
        <v>47</v>
      </c>
      <c r="D4" s="6" t="s">
        <v>47</v>
      </c>
      <c r="E4" s="6" t="s">
        <v>48</v>
      </c>
      <c r="F4" s="6" t="s">
        <v>48</v>
      </c>
      <c r="G4" s="8"/>
      <c r="H4" s="6" t="s">
        <v>49</v>
      </c>
      <c r="I4" s="6" t="str">
        <f t="shared" si="0"/>
        <v>Strategic opinion-behavior coevolution in social networks: A potential game approach with privacy preservation</v>
      </c>
      <c r="J4" s="6"/>
      <c r="K4" s="6" t="s">
        <v>37</v>
      </c>
      <c r="L4" s="6" t="str">
        <f t="shared" si="1"/>
        <v>Omega</v>
      </c>
      <c r="M4" s="6" t="s">
        <v>38</v>
      </c>
      <c r="N4" s="8"/>
      <c r="O4" s="8"/>
      <c r="P4" s="8"/>
      <c r="Q4" s="6"/>
      <c r="R4" s="8" t="str" cm="1">
        <f t="array" ref="R4">_xlfn.LET(_xlpm.issn,TRIM(M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" s="8" t="s">
        <v>39</v>
      </c>
      <c r="T4" s="8" t="s">
        <v>39</v>
      </c>
      <c r="U4" s="8" t="s">
        <v>39</v>
      </c>
      <c r="V4" s="8"/>
      <c r="W4" s="8"/>
      <c r="X4" s="8" t="s">
        <v>40</v>
      </c>
      <c r="Y4" s="8" t="s">
        <v>50</v>
      </c>
      <c r="Z4" s="8"/>
      <c r="AA4" s="8"/>
      <c r="AB4" s="8"/>
      <c r="AC4" s="8"/>
      <c r="AD4" s="8"/>
      <c r="AE4" s="8"/>
      <c r="AF4" s="8"/>
    </row>
    <row r="5" spans="1:32" ht="79.8" hidden="1" customHeight="1" x14ac:dyDescent="0.3">
      <c r="A5" s="10" t="s">
        <v>32</v>
      </c>
      <c r="B5" s="10" t="s">
        <v>33</v>
      </c>
      <c r="C5" s="10" t="s">
        <v>34</v>
      </c>
      <c r="D5" s="10" t="s">
        <v>34</v>
      </c>
      <c r="E5" s="10" t="s">
        <v>51</v>
      </c>
      <c r="F5" s="10" t="s">
        <v>51</v>
      </c>
      <c r="G5" s="8"/>
      <c r="H5" s="7" t="s">
        <v>52</v>
      </c>
      <c r="I5" s="6" t="str">
        <f t="shared" si="0"/>
        <v>From feeling to going: Unraveling the dynamics of emotion and travel intention in tourism vlog consumption via a two-stage Ising model</v>
      </c>
      <c r="J5" s="6"/>
      <c r="K5" s="7" t="s">
        <v>53</v>
      </c>
      <c r="L5" s="6" t="str">
        <f t="shared" si="1"/>
        <v>Tourism Management</v>
      </c>
      <c r="M5" s="7" t="s">
        <v>54</v>
      </c>
      <c r="N5" s="8"/>
      <c r="O5" s="8"/>
      <c r="P5" s="8"/>
      <c r="Q5" s="6"/>
      <c r="R5" s="8" t="str" cm="1">
        <f t="array" ref="R5">_xlfn.LET(_xlpm.issn,TRIM(M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" s="8"/>
      <c r="T5" s="12" t="s">
        <v>39</v>
      </c>
      <c r="U5" s="8"/>
      <c r="V5" s="8"/>
      <c r="W5" s="8"/>
      <c r="X5" s="9" t="s">
        <v>45</v>
      </c>
      <c r="Y5" s="8">
        <v>4</v>
      </c>
      <c r="Z5" s="8"/>
      <c r="AA5" s="8"/>
      <c r="AB5" s="8"/>
      <c r="AC5" s="8"/>
      <c r="AD5" s="8"/>
      <c r="AE5" s="8"/>
      <c r="AF5" s="8"/>
    </row>
    <row r="6" spans="1:32" s="2" customFormat="1" ht="79.8" hidden="1" customHeight="1" x14ac:dyDescent="0.3">
      <c r="A6" s="10" t="s">
        <v>32</v>
      </c>
      <c r="B6" s="10" t="s">
        <v>33</v>
      </c>
      <c r="C6" s="10" t="s">
        <v>34</v>
      </c>
      <c r="D6" s="10" t="s">
        <v>34</v>
      </c>
      <c r="E6" s="10" t="s">
        <v>51</v>
      </c>
      <c r="F6" s="10" t="s">
        <v>51</v>
      </c>
      <c r="G6" s="11"/>
      <c r="H6" s="13" t="s">
        <v>55</v>
      </c>
      <c r="I6" s="10" t="str">
        <f t="shared" si="0"/>
        <v>Tourist-generated vs. DMO-produced: Disentangling the heterogeneous effects of destination image discrepancies on Vlog engagement</v>
      </c>
      <c r="J6" s="10"/>
      <c r="K6" s="13" t="s">
        <v>56</v>
      </c>
      <c r="L6" s="10" t="str">
        <f t="shared" si="1"/>
        <v>Current Issues in Tourism</v>
      </c>
      <c r="M6" s="13" t="s">
        <v>57</v>
      </c>
      <c r="N6" s="11"/>
      <c r="O6" s="11"/>
      <c r="P6" s="11"/>
      <c r="Q6" s="10"/>
      <c r="R6" s="8" t="str" cm="1">
        <f t="array" ref="R6">_xlfn.LET(_xlpm.issn,TRIM(M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" s="11"/>
      <c r="T6" s="11" t="s">
        <v>39</v>
      </c>
      <c r="U6" s="11"/>
      <c r="V6" s="11"/>
      <c r="W6" s="11"/>
      <c r="X6" s="14" t="s">
        <v>40</v>
      </c>
      <c r="Y6" s="11">
        <v>2</v>
      </c>
      <c r="Z6" s="11"/>
      <c r="AA6" s="11"/>
      <c r="AB6" s="11"/>
      <c r="AC6" s="11"/>
      <c r="AD6" s="11"/>
      <c r="AE6" s="11"/>
      <c r="AF6" s="11"/>
    </row>
    <row r="7" spans="1:32" ht="79.8" hidden="1" customHeight="1" x14ac:dyDescent="0.3">
      <c r="A7" s="6" t="s">
        <v>32</v>
      </c>
      <c r="B7" s="6" t="s">
        <v>33</v>
      </c>
      <c r="C7" s="6" t="s">
        <v>34</v>
      </c>
      <c r="D7" s="6" t="s">
        <v>34</v>
      </c>
      <c r="E7" s="6" t="s">
        <v>51</v>
      </c>
      <c r="F7" s="6" t="s">
        <v>51</v>
      </c>
      <c r="G7" s="8"/>
      <c r="H7" s="6" t="s">
        <v>58</v>
      </c>
      <c r="I7" s="6" t="str">
        <f t="shared" si="0"/>
        <v>Unpacking the dynamic visual structure of travel vlogs and its impact on user engagement: A computer vision and sequence-based analysis</v>
      </c>
      <c r="J7" s="6"/>
      <c r="K7" s="6" t="s">
        <v>59</v>
      </c>
      <c r="L7" s="6" t="str">
        <f t="shared" si="1"/>
        <v>Information Systems Frontiers</v>
      </c>
      <c r="M7" s="6" t="s">
        <v>60</v>
      </c>
      <c r="N7" s="8"/>
      <c r="O7" s="8"/>
      <c r="P7" s="8"/>
      <c r="Q7" s="6"/>
      <c r="R7" s="8" t="str" cm="1">
        <f t="array" ref="R7">_xlfn.LET(_xlpm.issn,TRIM(M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" s="8" t="s">
        <v>39</v>
      </c>
      <c r="T7" s="8"/>
      <c r="U7" s="8" t="s">
        <v>39</v>
      </c>
      <c r="V7" s="8"/>
      <c r="W7" s="8"/>
      <c r="X7" s="8" t="s">
        <v>40</v>
      </c>
      <c r="Y7" s="8" t="s">
        <v>50</v>
      </c>
      <c r="Z7" s="8"/>
      <c r="AA7" s="8"/>
      <c r="AB7" s="8"/>
      <c r="AC7" s="8"/>
      <c r="AD7" s="8"/>
      <c r="AE7" s="8"/>
      <c r="AF7" s="8"/>
    </row>
    <row r="8" spans="1:32" s="2" customFormat="1" ht="79.8" hidden="1" customHeight="1" x14ac:dyDescent="0.3">
      <c r="A8" s="10" t="s">
        <v>32</v>
      </c>
      <c r="B8" s="10" t="s">
        <v>33</v>
      </c>
      <c r="C8" s="10" t="s">
        <v>34</v>
      </c>
      <c r="D8" s="10" t="s">
        <v>34</v>
      </c>
      <c r="E8" s="10" t="s">
        <v>61</v>
      </c>
      <c r="F8" s="10" t="s">
        <v>61</v>
      </c>
      <c r="G8" s="11"/>
      <c r="H8" s="10" t="s">
        <v>62</v>
      </c>
      <c r="I8" s="10" t="str">
        <f t="shared" si="0"/>
        <v>CWGB-BGSC: Consensus weighted granular-ball guided bipartite graph spectral clustering</v>
      </c>
      <c r="J8" s="10"/>
      <c r="K8" s="13" t="s">
        <v>63</v>
      </c>
      <c r="L8" s="13" t="s">
        <v>63</v>
      </c>
      <c r="M8" s="10" t="s">
        <v>64</v>
      </c>
      <c r="N8" s="11"/>
      <c r="O8" s="11"/>
      <c r="P8" s="11"/>
      <c r="Q8" s="10"/>
      <c r="R8" s="8" t="str" cm="1">
        <f t="array" ref="R8">_xlfn.LET(_xlpm.issn,TRIM(M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" s="11" t="s">
        <v>39</v>
      </c>
      <c r="T8" s="11"/>
      <c r="U8" s="11" t="s">
        <v>39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79.8" hidden="1" customHeight="1" x14ac:dyDescent="0.3">
      <c r="A9" s="6" t="s">
        <v>32</v>
      </c>
      <c r="B9" s="6" t="s">
        <v>33</v>
      </c>
      <c r="C9" s="6" t="s">
        <v>34</v>
      </c>
      <c r="D9" s="6" t="s">
        <v>34</v>
      </c>
      <c r="E9" s="6" t="s">
        <v>65</v>
      </c>
      <c r="F9" s="6" t="s">
        <v>65</v>
      </c>
      <c r="G9" s="8"/>
      <c r="H9" s="7" t="s">
        <v>66</v>
      </c>
      <c r="I9" s="6" t="str">
        <f t="shared" si="0"/>
        <v>A consensus-embedded regret-based framework for robust group rankings in multi-criteria decision making with linguistic preference intensity</v>
      </c>
      <c r="J9" s="6"/>
      <c r="K9" s="6" t="s">
        <v>67</v>
      </c>
      <c r="L9" s="6" t="str">
        <f>IF(B9="英文",K9,"")</f>
        <v>IEEE Transactions on Systems, Man, and Cybernetics: Systems</v>
      </c>
      <c r="M9" s="6" t="s">
        <v>68</v>
      </c>
      <c r="N9" s="8"/>
      <c r="O9" s="8"/>
      <c r="P9" s="8"/>
      <c r="Q9" s="6"/>
      <c r="R9" s="8" t="str" cm="1">
        <f t="array" ref="R9">_xlfn.LET(_xlpm.issn,TRIM(M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" s="8" t="s">
        <v>39</v>
      </c>
      <c r="T9" s="8"/>
      <c r="U9" s="8" t="s">
        <v>39</v>
      </c>
      <c r="V9" s="8"/>
      <c r="W9" s="8"/>
      <c r="X9" s="8" t="s">
        <v>40</v>
      </c>
      <c r="Y9" s="8" t="s">
        <v>50</v>
      </c>
      <c r="Z9" s="8"/>
      <c r="AA9" s="8"/>
      <c r="AB9" s="8"/>
      <c r="AC9" s="8"/>
      <c r="AD9" s="8"/>
      <c r="AE9" s="8"/>
      <c r="AF9" s="8"/>
    </row>
    <row r="10" spans="1:32" ht="79.8" hidden="1" customHeight="1" x14ac:dyDescent="0.3">
      <c r="A10" s="15" t="s">
        <v>32</v>
      </c>
      <c r="B10" s="15" t="s">
        <v>33</v>
      </c>
      <c r="C10" s="15" t="s">
        <v>69</v>
      </c>
      <c r="D10" s="15" t="s">
        <v>69</v>
      </c>
      <c r="E10" s="15" t="s">
        <v>70</v>
      </c>
      <c r="F10" s="15" t="s">
        <v>70</v>
      </c>
      <c r="G10" s="16"/>
      <c r="H10" s="15" t="s">
        <v>71</v>
      </c>
      <c r="I10" s="6" t="str">
        <f t="shared" si="0"/>
        <v>Preference learning augmented by graph structure for multiple criteria sorting with varying interactions</v>
      </c>
      <c r="J10" s="15"/>
      <c r="K10" s="15" t="s">
        <v>72</v>
      </c>
      <c r="L10" s="6" t="str">
        <f>IF(B10="英文",K10,"")</f>
        <v>Journal of the Operational Research Society</v>
      </c>
      <c r="M10" s="15" t="s">
        <v>73</v>
      </c>
      <c r="N10" s="16"/>
      <c r="O10" s="16"/>
      <c r="P10" s="16"/>
      <c r="Q10" s="15"/>
      <c r="R10" s="8" t="str" cm="1">
        <f t="array" ref="R10">_xlfn.LET(_xlpm.issn,TRIM(M10)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" s="16" t="s">
        <v>39</v>
      </c>
      <c r="T10" s="16" t="s">
        <v>39</v>
      </c>
      <c r="U10" s="16" t="s">
        <v>39</v>
      </c>
      <c r="V10" s="16"/>
      <c r="W10" s="16"/>
      <c r="X10" s="16" t="s">
        <v>40</v>
      </c>
      <c r="Y10" s="16" t="s">
        <v>50</v>
      </c>
      <c r="Z10" s="16"/>
      <c r="AA10" s="16"/>
      <c r="AB10" s="16"/>
      <c r="AC10" s="16"/>
      <c r="AD10" s="16"/>
      <c r="AE10" s="16"/>
      <c r="AF10" s="16"/>
    </row>
    <row r="11" spans="1:32" ht="79.8" hidden="1" customHeight="1" x14ac:dyDescent="0.3">
      <c r="A11" s="6" t="s">
        <v>32</v>
      </c>
      <c r="B11" s="6" t="s">
        <v>33</v>
      </c>
      <c r="C11" s="6" t="s">
        <v>34</v>
      </c>
      <c r="D11" s="6" t="s">
        <v>34</v>
      </c>
      <c r="E11" s="6" t="s">
        <v>61</v>
      </c>
      <c r="F11" s="6" t="s">
        <v>61</v>
      </c>
      <c r="G11" s="8"/>
      <c r="H11" s="6" t="s">
        <v>74</v>
      </c>
      <c r="I11" s="6" t="str">
        <f t="shared" si="0"/>
        <v>LGBQPC: Local granular-ball quality peaks clustering</v>
      </c>
      <c r="J11" s="6"/>
      <c r="K11" s="6" t="s">
        <v>75</v>
      </c>
      <c r="L11" s="6" t="str">
        <f>IF(B11="英文",K11,"")</f>
        <v>IEEE Transactions on Cybernetics</v>
      </c>
      <c r="M11" s="6" t="s">
        <v>76</v>
      </c>
      <c r="N11" s="8"/>
      <c r="O11" s="8"/>
      <c r="P11" s="8"/>
      <c r="Q11" s="6"/>
      <c r="R11" s="8" t="str" cm="1">
        <f t="array" ref="R11">_xlfn.LET(_xlpm.issn,TRIM(M11)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1" s="8" t="s">
        <v>39</v>
      </c>
      <c r="T11" s="8"/>
      <c r="U11" s="8" t="s">
        <v>39</v>
      </c>
      <c r="V11" s="8"/>
      <c r="W11" s="8"/>
      <c r="X11" s="8" t="s">
        <v>40</v>
      </c>
      <c r="Y11" s="8" t="s">
        <v>50</v>
      </c>
      <c r="Z11" s="8"/>
      <c r="AA11" s="8"/>
      <c r="AB11" s="8"/>
      <c r="AC11" s="8"/>
      <c r="AD11" s="8"/>
      <c r="AE11" s="8"/>
      <c r="AF11" s="8"/>
    </row>
    <row r="12" spans="1:32" s="2" customFormat="1" ht="79.8" hidden="1" customHeight="1" x14ac:dyDescent="0.3">
      <c r="A12" s="10" t="s">
        <v>32</v>
      </c>
      <c r="B12" s="10" t="s">
        <v>33</v>
      </c>
      <c r="C12" s="10" t="s">
        <v>34</v>
      </c>
      <c r="D12" s="10" t="s">
        <v>34</v>
      </c>
      <c r="E12" s="10" t="s">
        <v>65</v>
      </c>
      <c r="F12" s="10" t="s">
        <v>65</v>
      </c>
      <c r="G12" s="11"/>
      <c r="H12" s="10" t="s">
        <v>77</v>
      </c>
      <c r="I12" s="10" t="str">
        <f t="shared" si="0"/>
        <v>Group compromise rankings with indirect preference information: maximizing pairwise- and rank-based support</v>
      </c>
      <c r="J12" s="10"/>
      <c r="K12" s="10" t="s">
        <v>78</v>
      </c>
      <c r="L12" s="10" t="str">
        <f>IF(B12="英文",K12,"")</f>
        <v>Computers &amp; Operations Research</v>
      </c>
      <c r="M12" s="10" t="s">
        <v>79</v>
      </c>
      <c r="N12" s="11"/>
      <c r="O12" s="11"/>
      <c r="P12" s="11"/>
      <c r="Q12" s="10"/>
      <c r="R12" s="8" t="str" cm="1">
        <f t="array" ref="R12">_xlfn.LET(_xlpm.issn,TRIM(M12)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2" s="11" t="s">
        <v>39</v>
      </c>
      <c r="T12" s="11"/>
      <c r="U12" s="11" t="s">
        <v>39</v>
      </c>
      <c r="V12" s="11"/>
      <c r="W12" s="11"/>
      <c r="X12" s="11" t="s">
        <v>40</v>
      </c>
      <c r="Y12" s="11" t="s">
        <v>50</v>
      </c>
      <c r="Z12" s="11"/>
      <c r="AA12" s="11"/>
      <c r="AB12" s="11"/>
      <c r="AC12" s="11"/>
      <c r="AD12" s="11"/>
      <c r="AE12" s="11"/>
      <c r="AF12" s="11"/>
    </row>
    <row r="13" spans="1:32" ht="79.8" hidden="1" customHeight="1" x14ac:dyDescent="0.3">
      <c r="A13" s="6" t="s">
        <v>32</v>
      </c>
      <c r="B13" s="6" t="s">
        <v>33</v>
      </c>
      <c r="C13" s="6" t="s">
        <v>80</v>
      </c>
      <c r="D13" s="6" t="s">
        <v>80</v>
      </c>
      <c r="E13" s="6" t="s">
        <v>81</v>
      </c>
      <c r="F13" s="6" t="s">
        <v>81</v>
      </c>
      <c r="G13" s="8"/>
      <c r="H13" s="6" t="s">
        <v>82</v>
      </c>
      <c r="I13" s="6" t="str">
        <f t="shared" ref="I13:I22" si="2">IF(B13="英文",H13,"")</f>
        <v>PIS learning in LSGDM under hybrid multi-format preference context: Application in safety assessment of LLMs</v>
      </c>
      <c r="J13" s="6"/>
      <c r="K13" s="6" t="s">
        <v>83</v>
      </c>
      <c r="L13" s="6" t="str">
        <f t="shared" ref="L13:L22" si="3">IF(B13="英文",K13,"")</f>
        <v>Information Fusion</v>
      </c>
      <c r="M13" s="6" t="s">
        <v>84</v>
      </c>
      <c r="N13" s="8"/>
      <c r="O13" s="8"/>
      <c r="P13" s="8"/>
      <c r="Q13" s="6"/>
      <c r="R13" s="8" t="str" cm="1">
        <f t="array" ref="R13">_xlfn.LET(_xlpm.issn,TRIM(M13)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3" s="8" t="s">
        <v>39</v>
      </c>
      <c r="T13" s="8"/>
      <c r="U13" s="8" t="s">
        <v>39</v>
      </c>
      <c r="V13" s="8"/>
      <c r="W13" s="8"/>
      <c r="X13" s="8"/>
      <c r="Y13" s="8"/>
      <c r="Z13" s="16"/>
      <c r="AA13" s="16"/>
      <c r="AB13" s="16"/>
      <c r="AC13" s="16"/>
      <c r="AD13" s="16"/>
      <c r="AE13" s="16"/>
      <c r="AF13" s="16"/>
    </row>
    <row r="14" spans="1:32" ht="79.8" hidden="1" customHeight="1" x14ac:dyDescent="0.3">
      <c r="A14" s="15" t="s">
        <v>32</v>
      </c>
      <c r="B14" s="15" t="s">
        <v>33</v>
      </c>
      <c r="C14" s="15" t="s">
        <v>34</v>
      </c>
      <c r="D14" s="15" t="s">
        <v>34</v>
      </c>
      <c r="E14" s="17" t="s">
        <v>85</v>
      </c>
      <c r="F14" s="17" t="s">
        <v>85</v>
      </c>
      <c r="G14" s="16"/>
      <c r="H14" s="17" t="s">
        <v>86</v>
      </c>
      <c r="I14" s="6" t="str">
        <f t="shared" si="2"/>
        <v>A multi-stage minimum cost consensus model with multifactor-driven unit consensus costs for large-scale group decision making</v>
      </c>
      <c r="J14" s="15"/>
      <c r="K14" s="17" t="s">
        <v>87</v>
      </c>
      <c r="L14" s="6" t="str">
        <f t="shared" si="3"/>
        <v>Applied Soft Computing</v>
      </c>
      <c r="M14" s="17" t="s">
        <v>88</v>
      </c>
      <c r="N14" s="16"/>
      <c r="O14" s="16"/>
      <c r="P14" s="16"/>
      <c r="Q14" s="15"/>
      <c r="R14" s="8" t="str" cm="1">
        <f t="array" ref="R14">_xlfn.LET(_xlpm.issn,TRIM(M14)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4" s="18" t="s">
        <v>39</v>
      </c>
      <c r="T14" s="16"/>
      <c r="U14" s="18" t="s">
        <v>39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79.8" hidden="1" customHeight="1" x14ac:dyDescent="0.3">
      <c r="A15" s="19" t="s">
        <v>32</v>
      </c>
      <c r="B15" s="6" t="s">
        <v>33</v>
      </c>
      <c r="C15" s="6" t="s">
        <v>89</v>
      </c>
      <c r="D15" s="6" t="s">
        <v>89</v>
      </c>
      <c r="E15" s="7" t="s">
        <v>90</v>
      </c>
      <c r="F15" s="7" t="s">
        <v>90</v>
      </c>
      <c r="G15" s="8"/>
      <c r="H15" s="7" t="s">
        <v>91</v>
      </c>
      <c r="I15" s="6" t="str">
        <f t="shared" si="2"/>
        <v>A two-stage optimization-based consensus reaching framework for portfolio selection with fuzzy preference relations</v>
      </c>
      <c r="J15" s="6"/>
      <c r="K15" s="7" t="s">
        <v>92</v>
      </c>
      <c r="L15" s="6" t="str">
        <f t="shared" si="3"/>
        <v>Information Processing and Management</v>
      </c>
      <c r="M15" s="7" t="s">
        <v>93</v>
      </c>
      <c r="N15" s="8"/>
      <c r="O15" s="8"/>
      <c r="P15" s="8"/>
      <c r="Q15" s="6"/>
      <c r="R15" s="8" t="str" cm="1">
        <f t="array" ref="R15">_xlfn.LET(_xlpm.issn,TRIM(M15)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5" s="8" t="s">
        <v>39</v>
      </c>
      <c r="T15" s="8"/>
      <c r="U15" s="8" t="s">
        <v>39</v>
      </c>
      <c r="V15" s="8"/>
      <c r="W15" s="8"/>
      <c r="X15" s="9" t="s">
        <v>40</v>
      </c>
      <c r="Y15" s="8">
        <v>2</v>
      </c>
      <c r="Z15" s="8"/>
      <c r="AA15" s="8"/>
      <c r="AB15" s="8"/>
      <c r="AC15" s="8"/>
      <c r="AD15" s="8"/>
      <c r="AE15" s="8"/>
      <c r="AF15" s="8"/>
    </row>
    <row r="16" spans="1:32" ht="79.8" hidden="1" customHeight="1" x14ac:dyDescent="0.3">
      <c r="A16" s="15" t="s">
        <v>32</v>
      </c>
      <c r="B16" s="15" t="s">
        <v>33</v>
      </c>
      <c r="C16" s="15" t="s">
        <v>89</v>
      </c>
      <c r="D16" s="15" t="s">
        <v>89</v>
      </c>
      <c r="E16" s="15" t="s">
        <v>94</v>
      </c>
      <c r="F16" s="15" t="s">
        <v>94</v>
      </c>
      <c r="G16" s="16"/>
      <c r="H16" s="17" t="s">
        <v>95</v>
      </c>
      <c r="I16" s="6" t="str">
        <f t="shared" si="2"/>
        <v>A fairness-aware consensus-reaching framework for multi-expert fuzzy BWM-based portfolio selection</v>
      </c>
      <c r="J16" s="15"/>
      <c r="K16" s="15" t="s">
        <v>96</v>
      </c>
      <c r="L16" s="6" t="str">
        <f t="shared" si="3"/>
        <v>Expert Systems with Applications</v>
      </c>
      <c r="M16" s="15" t="s">
        <v>97</v>
      </c>
      <c r="N16" s="16"/>
      <c r="O16" s="16"/>
      <c r="P16" s="16"/>
      <c r="Q16" s="15"/>
      <c r="R16" s="8" t="str" cm="1">
        <f t="array" ref="R16">_xlfn.LET(_xlpm.issn,TRIM(M16)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6" s="16" t="s">
        <v>39</v>
      </c>
      <c r="T16" s="16"/>
      <c r="U16" s="16" t="s">
        <v>39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79.8" hidden="1" customHeight="1" x14ac:dyDescent="0.3">
      <c r="A17" s="6" t="s">
        <v>32</v>
      </c>
      <c r="B17" s="6" t="s">
        <v>33</v>
      </c>
      <c r="C17" s="6" t="s">
        <v>34</v>
      </c>
      <c r="D17" s="6" t="s">
        <v>34</v>
      </c>
      <c r="E17" s="7" t="s">
        <v>98</v>
      </c>
      <c r="F17" s="6" t="s">
        <v>98</v>
      </c>
      <c r="G17" s="8"/>
      <c r="H17" s="6" t="s">
        <v>99</v>
      </c>
      <c r="I17" s="6" t="str">
        <f t="shared" si="2"/>
        <v>A large-scale group decision-making model under social networks with comprehensive management of non-cooperative behaviors and minority opinions in consensus reaching process</v>
      </c>
      <c r="J17" s="6"/>
      <c r="K17" s="6" t="s">
        <v>100</v>
      </c>
      <c r="L17" s="6" t="str">
        <f t="shared" si="3"/>
        <v>Computers &amp; Industrial Engineering</v>
      </c>
      <c r="M17" s="6" t="s">
        <v>101</v>
      </c>
      <c r="N17" s="8"/>
      <c r="O17" s="8"/>
      <c r="P17" s="8"/>
      <c r="Q17" s="6"/>
      <c r="R17" s="8" t="str" cm="1">
        <f t="array" ref="R17">_xlfn.LET(_xlpm.issn,TRIM(M17)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7" s="8" t="s">
        <v>39</v>
      </c>
      <c r="T17" s="8"/>
      <c r="U17" s="8" t="s">
        <v>39</v>
      </c>
      <c r="V17" s="8"/>
      <c r="W17" s="8"/>
      <c r="X17" s="8" t="s">
        <v>40</v>
      </c>
      <c r="Y17" s="8">
        <v>2</v>
      </c>
      <c r="Z17" s="8"/>
      <c r="AA17" s="8"/>
      <c r="AB17" s="8"/>
      <c r="AC17" s="8"/>
      <c r="AD17" s="8"/>
      <c r="AE17" s="8"/>
      <c r="AF17" s="8"/>
    </row>
    <row r="18" spans="1:32" ht="79.8" hidden="1" customHeight="1" x14ac:dyDescent="0.3">
      <c r="A18" s="15" t="s">
        <v>32</v>
      </c>
      <c r="B18" s="15" t="s">
        <v>33</v>
      </c>
      <c r="C18" s="15" t="s">
        <v>102</v>
      </c>
      <c r="D18" s="15" t="s">
        <v>102</v>
      </c>
      <c r="E18" s="15" t="s">
        <v>103</v>
      </c>
      <c r="F18" s="15" t="s">
        <v>103</v>
      </c>
      <c r="G18" s="16"/>
      <c r="H18" s="15" t="s">
        <v>104</v>
      </c>
      <c r="I18" s="6" t="str">
        <f t="shared" si="2"/>
        <v>Tourism demand forecasting with multi-factor data: A similar sequence search-based attention approach</v>
      </c>
      <c r="J18" s="15"/>
      <c r="K18" s="17" t="s">
        <v>87</v>
      </c>
      <c r="L18" s="6" t="str">
        <f t="shared" si="3"/>
        <v>Applied Soft Computing</v>
      </c>
      <c r="M18" s="17" t="s">
        <v>88</v>
      </c>
      <c r="N18" s="16"/>
      <c r="O18" s="16"/>
      <c r="P18" s="16"/>
      <c r="Q18" s="15"/>
      <c r="R18" s="8" t="str" cm="1">
        <f t="array" ref="R18">_xlfn.LET(_xlpm.issn,TRIM(M18)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8" s="16" t="s">
        <v>39</v>
      </c>
      <c r="T18" s="16"/>
      <c r="U18" s="16" t="s">
        <v>39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ht="79.8" hidden="1" customHeight="1" x14ac:dyDescent="0.3">
      <c r="A19" s="6" t="s">
        <v>32</v>
      </c>
      <c r="B19" s="6" t="s">
        <v>33</v>
      </c>
      <c r="C19" s="6" t="s">
        <v>105</v>
      </c>
      <c r="D19" s="6" t="s">
        <v>105</v>
      </c>
      <c r="E19" s="6" t="s">
        <v>106</v>
      </c>
      <c r="F19" s="6" t="s">
        <v>106</v>
      </c>
      <c r="G19" s="8"/>
      <c r="H19" s="6" t="s">
        <v>107</v>
      </c>
      <c r="I19" s="6" t="str">
        <f t="shared" si="2"/>
        <v>Multi-criteria group sorting model for evaluating new energy vehicle based on online reviews considering time-sensitive preference and criteria interaction</v>
      </c>
      <c r="J19" s="6"/>
      <c r="K19" s="6" t="s">
        <v>96</v>
      </c>
      <c r="L19" s="6" t="str">
        <f t="shared" si="3"/>
        <v>Expert Systems with Applications</v>
      </c>
      <c r="M19" s="6" t="s">
        <v>97</v>
      </c>
      <c r="N19" s="8"/>
      <c r="O19" s="8"/>
      <c r="P19" s="8"/>
      <c r="Q19" s="6"/>
      <c r="R19" s="8" t="str" cm="1">
        <f t="array" ref="R19">_xlfn.LET(_xlpm.issn,TRIM(M19)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9" s="8" t="s">
        <v>39</v>
      </c>
      <c r="T19" s="8"/>
      <c r="U19" s="8" t="s">
        <v>39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79.8" hidden="1" customHeight="1" x14ac:dyDescent="0.3">
      <c r="A20" s="15" t="s">
        <v>32</v>
      </c>
      <c r="B20" s="15" t="s">
        <v>33</v>
      </c>
      <c r="C20" s="15" t="s">
        <v>34</v>
      </c>
      <c r="D20" s="15" t="s">
        <v>34</v>
      </c>
      <c r="E20" s="17" t="s">
        <v>108</v>
      </c>
      <c r="F20" s="17" t="s">
        <v>108</v>
      </c>
      <c r="G20" s="16"/>
      <c r="H20" s="17" t="s">
        <v>109</v>
      </c>
      <c r="I20" s="6" t="str">
        <f t="shared" si="2"/>
        <v>Personalized individual semantics-based consensus reaching for linguistic multi-criteria group sorting with heterogeneous preference information</v>
      </c>
      <c r="J20" s="15"/>
      <c r="K20" s="15" t="s">
        <v>72</v>
      </c>
      <c r="L20" s="6" t="str">
        <f t="shared" si="3"/>
        <v>Journal of the Operational Research Society</v>
      </c>
      <c r="M20" s="15" t="s">
        <v>73</v>
      </c>
      <c r="N20" s="16"/>
      <c r="O20" s="16"/>
      <c r="P20" s="16"/>
      <c r="Q20" s="15"/>
      <c r="R20" s="8" t="str" cm="1">
        <f t="array" ref="R20">_xlfn.LET(_xlpm.issn,TRIM(M20)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0" s="16" t="s">
        <v>39</v>
      </c>
      <c r="T20" s="16" t="s">
        <v>39</v>
      </c>
      <c r="U20" s="16" t="s">
        <v>39</v>
      </c>
      <c r="V20" s="16"/>
      <c r="W20" s="16"/>
      <c r="X20" s="16" t="s">
        <v>40</v>
      </c>
      <c r="Y20" s="16" t="s">
        <v>50</v>
      </c>
      <c r="Z20" s="16"/>
      <c r="AA20" s="16"/>
      <c r="AB20" s="16"/>
      <c r="AC20" s="16"/>
      <c r="AD20" s="16"/>
      <c r="AE20" s="16"/>
      <c r="AF20" s="16"/>
    </row>
    <row r="21" spans="1:32" ht="79.8" hidden="1" customHeight="1" x14ac:dyDescent="0.3">
      <c r="A21" s="6" t="s">
        <v>32</v>
      </c>
      <c r="B21" s="6" t="s">
        <v>33</v>
      </c>
      <c r="C21" s="6" t="s">
        <v>89</v>
      </c>
      <c r="D21" s="6" t="s">
        <v>89</v>
      </c>
      <c r="E21" s="6" t="s">
        <v>94</v>
      </c>
      <c r="F21" s="6" t="s">
        <v>94</v>
      </c>
      <c r="G21" s="8"/>
      <c r="H21" s="7" t="s">
        <v>110</v>
      </c>
      <c r="I21" s="6" t="str">
        <f t="shared" si="2"/>
        <v>Portfolio selection via Bayesian-optimized Choquet integral: Integrating
subjective preferences with objective information</v>
      </c>
      <c r="J21" s="6"/>
      <c r="K21" s="7" t="s">
        <v>111</v>
      </c>
      <c r="L21" s="6" t="str">
        <f t="shared" si="3"/>
        <v>Information Sciences</v>
      </c>
      <c r="M21" s="6" t="s">
        <v>112</v>
      </c>
      <c r="N21" s="8"/>
      <c r="O21" s="8"/>
      <c r="P21" s="8"/>
      <c r="Q21" s="6"/>
      <c r="R21" s="8" t="str" cm="1">
        <f t="array" ref="R21">_xlfn.LET(_xlpm.issn,TRIM(M21)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1" s="8" t="s">
        <v>39</v>
      </c>
      <c r="T21" s="8"/>
      <c r="U21" s="8" t="s">
        <v>39</v>
      </c>
      <c r="V21" s="8"/>
      <c r="W21" s="8"/>
      <c r="X21" s="9" t="s">
        <v>40</v>
      </c>
      <c r="Y21" s="8"/>
      <c r="Z21" s="8"/>
      <c r="AA21" s="8"/>
      <c r="AB21" s="8"/>
      <c r="AC21" s="8"/>
      <c r="AD21" s="8"/>
      <c r="AE21" s="8"/>
      <c r="AF21" s="8"/>
    </row>
    <row r="22" spans="1:32" ht="79.8" hidden="1" customHeight="1" x14ac:dyDescent="0.3">
      <c r="A22" s="15" t="s">
        <v>32</v>
      </c>
      <c r="B22" s="15" t="s">
        <v>33</v>
      </c>
      <c r="C22" s="15" t="s">
        <v>113</v>
      </c>
      <c r="D22" s="15" t="s">
        <v>113</v>
      </c>
      <c r="E22" s="15" t="s">
        <v>114</v>
      </c>
      <c r="F22" s="15" t="s">
        <v>114</v>
      </c>
      <c r="G22" s="16"/>
      <c r="H22" s="17" t="s">
        <v>115</v>
      </c>
      <c r="I22" s="15" t="str">
        <f t="shared" si="2"/>
        <v>Homogeneity-driven three-way clustering for social network group decision-making: Core opinion preservation and evidential fusion</v>
      </c>
      <c r="J22" s="15"/>
      <c r="K22" s="15" t="s">
        <v>83</v>
      </c>
      <c r="L22" s="15" t="str">
        <f t="shared" si="3"/>
        <v>Information Fusion</v>
      </c>
      <c r="M22" s="15" t="s">
        <v>84</v>
      </c>
      <c r="N22" s="16"/>
      <c r="O22" s="16"/>
      <c r="P22" s="16"/>
      <c r="Q22" s="15"/>
      <c r="R22" s="8" t="str" cm="1">
        <f t="array" ref="R22">_xlfn.LET(_xlpm.issn,TRIM(M22)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2" s="16" t="s">
        <v>39</v>
      </c>
      <c r="T22" s="16"/>
      <c r="U22" s="16" t="s">
        <v>39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79.8" hidden="1" customHeight="1" x14ac:dyDescent="0.3">
      <c r="A23" s="15" t="s">
        <v>32</v>
      </c>
      <c r="B23" s="15" t="s">
        <v>116</v>
      </c>
      <c r="C23" s="15" t="s">
        <v>117</v>
      </c>
      <c r="D23" s="15" t="s">
        <v>102</v>
      </c>
      <c r="E23" s="15" t="s">
        <v>118</v>
      </c>
      <c r="F23" s="15" t="s">
        <v>119</v>
      </c>
      <c r="G23" s="16"/>
      <c r="H23" s="15" t="s">
        <v>120</v>
      </c>
      <c r="I23" s="15" t="s">
        <v>121</v>
      </c>
      <c r="J23" s="15"/>
      <c r="K23" s="15" t="s">
        <v>122</v>
      </c>
      <c r="L23" s="15" t="s">
        <v>123</v>
      </c>
      <c r="M23" s="15"/>
      <c r="N23" s="16"/>
      <c r="O23" s="16"/>
      <c r="P23" s="16"/>
      <c r="Q23" s="15"/>
      <c r="R23" s="8" t="str" cm="1">
        <f t="array" ref="R23">_xlfn.LET(_xlpm.issn,TRIM(M23)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3" s="16"/>
      <c r="T23" s="16"/>
      <c r="U23" s="16"/>
      <c r="V23" s="16" t="s">
        <v>39</v>
      </c>
      <c r="W23" s="16"/>
      <c r="X23" s="16" t="s">
        <v>124</v>
      </c>
      <c r="Y23" s="16"/>
      <c r="Z23" s="16"/>
      <c r="AA23" s="16"/>
      <c r="AB23" s="16"/>
      <c r="AC23" s="16"/>
      <c r="AD23" s="16"/>
      <c r="AE23" s="16"/>
      <c r="AF23" s="16"/>
    </row>
    <row r="24" spans="1:32" ht="79.8" hidden="1" customHeight="1" x14ac:dyDescent="0.3">
      <c r="A24" s="6" t="s">
        <v>32</v>
      </c>
      <c r="B24" s="6" t="s">
        <v>116</v>
      </c>
      <c r="C24" s="6" t="s">
        <v>117</v>
      </c>
      <c r="D24" s="6" t="s">
        <v>102</v>
      </c>
      <c r="E24" s="6" t="s">
        <v>125</v>
      </c>
      <c r="F24" s="6" t="s">
        <v>103</v>
      </c>
      <c r="G24" s="8"/>
      <c r="H24" s="6" t="s">
        <v>126</v>
      </c>
      <c r="I24" s="6" t="s">
        <v>127</v>
      </c>
      <c r="J24" s="6"/>
      <c r="K24" s="6" t="s">
        <v>128</v>
      </c>
      <c r="L24" s="6" t="s">
        <v>129</v>
      </c>
      <c r="M24" s="6"/>
      <c r="N24" s="8"/>
      <c r="O24" s="8"/>
      <c r="P24" s="8"/>
      <c r="Q24" s="6"/>
      <c r="R24" s="8" t="str" cm="1">
        <f t="array" ref="R24">_xlfn.LET(_xlpm.issn,TRIM(M24)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4" s="8"/>
      <c r="T24" s="8"/>
      <c r="U24" s="8" t="s">
        <v>39</v>
      </c>
      <c r="V24" s="8" t="s">
        <v>39</v>
      </c>
      <c r="W24" s="8"/>
      <c r="X24" s="8" t="s">
        <v>124</v>
      </c>
      <c r="Y24" s="8"/>
      <c r="Z24" s="8"/>
      <c r="AA24" s="8"/>
      <c r="AB24" s="8"/>
      <c r="AC24" s="8"/>
      <c r="AD24" s="8"/>
      <c r="AE24" s="8"/>
      <c r="AF24" s="8"/>
    </row>
    <row r="25" spans="1:32" ht="79.8" hidden="1" customHeight="1" x14ac:dyDescent="0.3">
      <c r="A25" s="15" t="s">
        <v>32</v>
      </c>
      <c r="B25" s="15" t="s">
        <v>116</v>
      </c>
      <c r="C25" s="15" t="s">
        <v>130</v>
      </c>
      <c r="D25" s="15" t="s">
        <v>131</v>
      </c>
      <c r="E25" s="15" t="s">
        <v>132</v>
      </c>
      <c r="F25" s="15" t="s">
        <v>133</v>
      </c>
      <c r="G25" s="16"/>
      <c r="H25" s="15" t="s">
        <v>134</v>
      </c>
      <c r="I25" s="15" t="s">
        <v>135</v>
      </c>
      <c r="J25" s="15"/>
      <c r="K25" s="15" t="s">
        <v>128</v>
      </c>
      <c r="L25" s="15" t="s">
        <v>136</v>
      </c>
      <c r="M25" s="15"/>
      <c r="N25" s="16"/>
      <c r="O25" s="16"/>
      <c r="P25" s="16"/>
      <c r="Q25" s="15"/>
      <c r="R25" s="8" t="str" cm="1">
        <f t="array" ref="R25">_xlfn.LET(_xlpm.issn,TRIM(M25)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5" s="16"/>
      <c r="T25" s="16"/>
      <c r="U25" s="16" t="s">
        <v>39</v>
      </c>
      <c r="V25" s="16" t="s">
        <v>39</v>
      </c>
      <c r="W25" s="16"/>
      <c r="X25" s="16" t="s">
        <v>124</v>
      </c>
      <c r="Y25" s="16"/>
      <c r="Z25" s="16"/>
      <c r="AA25" s="16"/>
      <c r="AB25" s="16"/>
      <c r="AC25" s="16"/>
      <c r="AD25" s="16"/>
      <c r="AE25" s="16"/>
      <c r="AF25" s="16"/>
    </row>
    <row r="26" spans="1:32" ht="79.8" hidden="1" customHeight="1" x14ac:dyDescent="0.3">
      <c r="A26" s="6" t="s">
        <v>32</v>
      </c>
      <c r="B26" s="6" t="s">
        <v>116</v>
      </c>
      <c r="C26" s="6" t="s">
        <v>130</v>
      </c>
      <c r="D26" s="6" t="s">
        <v>131</v>
      </c>
      <c r="E26" s="6" t="s">
        <v>137</v>
      </c>
      <c r="F26" s="6" t="s">
        <v>138</v>
      </c>
      <c r="G26" s="8"/>
      <c r="H26" s="6" t="s">
        <v>139</v>
      </c>
      <c r="I26" s="6" t="s">
        <v>140</v>
      </c>
      <c r="J26" s="6"/>
      <c r="K26" s="6" t="s">
        <v>122</v>
      </c>
      <c r="L26" s="6" t="s">
        <v>123</v>
      </c>
      <c r="M26" s="6"/>
      <c r="N26" s="8"/>
      <c r="O26" s="8"/>
      <c r="P26" s="8"/>
      <c r="Q26" s="6"/>
      <c r="R26" s="8" t="str" cm="1">
        <f t="array" ref="R26">_xlfn.LET(_xlpm.issn,TRIM(M26)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6" s="8"/>
      <c r="T26" s="8"/>
      <c r="U26" s="8"/>
      <c r="V26" s="8" t="s">
        <v>39</v>
      </c>
      <c r="W26" s="8"/>
      <c r="X26" s="8" t="s">
        <v>124</v>
      </c>
      <c r="Y26" s="8"/>
      <c r="Z26" s="8"/>
      <c r="AA26" s="8"/>
      <c r="AB26" s="8"/>
      <c r="AC26" s="8"/>
      <c r="AD26" s="8"/>
      <c r="AE26" s="8"/>
      <c r="AF26" s="8"/>
    </row>
    <row r="27" spans="1:32" ht="79.8" hidden="1" customHeight="1" x14ac:dyDescent="0.3">
      <c r="A27" s="15" t="s">
        <v>32</v>
      </c>
      <c r="B27" s="15" t="s">
        <v>116</v>
      </c>
      <c r="C27" s="15" t="s">
        <v>117</v>
      </c>
      <c r="D27" s="15" t="s">
        <v>102</v>
      </c>
      <c r="E27" s="15" t="s">
        <v>141</v>
      </c>
      <c r="F27" s="15" t="s">
        <v>142</v>
      </c>
      <c r="G27" s="16"/>
      <c r="H27" s="15" t="s">
        <v>143</v>
      </c>
      <c r="I27" s="15" t="s">
        <v>144</v>
      </c>
      <c r="J27" s="15"/>
      <c r="K27" s="15" t="s">
        <v>122</v>
      </c>
      <c r="L27" s="15" t="s">
        <v>123</v>
      </c>
      <c r="M27" s="15"/>
      <c r="N27" s="16"/>
      <c r="O27" s="16"/>
      <c r="P27" s="16"/>
      <c r="Q27" s="15"/>
      <c r="R27" s="8" t="str" cm="1">
        <f t="array" ref="R27">_xlfn.LET(_xlpm.issn,TRIM(M27)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7" s="16"/>
      <c r="T27" s="16"/>
      <c r="U27" s="16"/>
      <c r="V27" s="16" t="s">
        <v>39</v>
      </c>
      <c r="W27" s="16"/>
      <c r="X27" s="16" t="s">
        <v>124</v>
      </c>
      <c r="Y27" s="16"/>
      <c r="Z27" s="16"/>
      <c r="AA27" s="16"/>
      <c r="AB27" s="16"/>
      <c r="AC27" s="16"/>
      <c r="AD27" s="16"/>
      <c r="AE27" s="16"/>
      <c r="AF27" s="16"/>
    </row>
    <row r="28" spans="1:32" ht="79.8" hidden="1" customHeight="1" x14ac:dyDescent="0.3">
      <c r="A28" s="6" t="s">
        <v>32</v>
      </c>
      <c r="B28" s="6" t="s">
        <v>33</v>
      </c>
      <c r="C28" s="6" t="s">
        <v>34</v>
      </c>
      <c r="D28" s="6" t="s">
        <v>34</v>
      </c>
      <c r="E28" s="6" t="s">
        <v>145</v>
      </c>
      <c r="F28" s="6" t="s">
        <v>145</v>
      </c>
      <c r="G28" s="8"/>
      <c r="H28" s="6" t="s">
        <v>146</v>
      </c>
      <c r="I28" s="6" t="str">
        <f t="shared" ref="I28:I29" si="4">IF(B28="英文",H28,"")</f>
        <v>A linguistic distribution-based approach to support consensus reaching in MAGDM with multi-granular unbalanced hesitant fuzzy linguistic information</v>
      </c>
      <c r="J28" s="6"/>
      <c r="K28" s="6" t="s">
        <v>100</v>
      </c>
      <c r="L28" s="6" t="str">
        <f>IF(B28="英文",K28,"")</f>
        <v>Computers &amp; Industrial Engineering</v>
      </c>
      <c r="M28" s="6" t="s">
        <v>101</v>
      </c>
      <c r="N28" s="8"/>
      <c r="O28" s="8"/>
      <c r="P28" s="8"/>
      <c r="Q28" s="6"/>
      <c r="R28" s="8" t="str" cm="1">
        <f t="array" ref="R28">_xlfn.LET(_xlpm.issn,TRIM(M28)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8" s="8" t="s">
        <v>39</v>
      </c>
      <c r="T28" s="8"/>
      <c r="U28" s="8" t="s">
        <v>39</v>
      </c>
      <c r="V28" s="8"/>
      <c r="W28" s="8"/>
      <c r="X28" s="8" t="s">
        <v>40</v>
      </c>
      <c r="Y28" s="8">
        <v>2</v>
      </c>
      <c r="Z28" s="8"/>
      <c r="AA28" s="8"/>
      <c r="AB28" s="8"/>
      <c r="AC28" s="8"/>
      <c r="AD28" s="8"/>
      <c r="AE28" s="8"/>
      <c r="AF28" s="8"/>
    </row>
    <row r="29" spans="1:32" ht="79.8" hidden="1" customHeight="1" x14ac:dyDescent="0.3">
      <c r="A29" s="15" t="s">
        <v>32</v>
      </c>
      <c r="B29" s="15" t="s">
        <v>33</v>
      </c>
      <c r="C29" s="15" t="s">
        <v>34</v>
      </c>
      <c r="D29" s="15" t="s">
        <v>34</v>
      </c>
      <c r="E29" s="15" t="s">
        <v>147</v>
      </c>
      <c r="F29" s="15" t="s">
        <v>147</v>
      </c>
      <c r="G29" s="16"/>
      <c r="H29" s="15" t="s">
        <v>148</v>
      </c>
      <c r="I29" s="6" t="str">
        <f t="shared" si="4"/>
        <v>Integrating consensus reaching processes in multi-criteria sorting problems: A majority rule sorting-based approach</v>
      </c>
      <c r="J29" s="15"/>
      <c r="K29" s="15" t="s">
        <v>149</v>
      </c>
      <c r="L29" s="6" t="str">
        <f>IF(B29="英文",K29,"")</f>
        <v>Group Decision and Negotiation</v>
      </c>
      <c r="M29" s="15" t="s">
        <v>150</v>
      </c>
      <c r="N29" s="16"/>
      <c r="O29" s="16"/>
      <c r="P29" s="16"/>
      <c r="Q29" s="15"/>
      <c r="R29" s="8" t="str" cm="1">
        <f t="array" ref="R29">_xlfn.LET(_xlpm.issn,TRIM(M29)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29" s="16"/>
      <c r="T29" s="16" t="s">
        <v>39</v>
      </c>
      <c r="U29" s="16"/>
      <c r="V29" s="16"/>
      <c r="W29" s="16"/>
      <c r="X29" s="16" t="s">
        <v>40</v>
      </c>
      <c r="Y29" s="16">
        <v>2</v>
      </c>
      <c r="Z29" s="16"/>
      <c r="AA29" s="16"/>
      <c r="AB29" s="16"/>
      <c r="AC29" s="16"/>
      <c r="AD29" s="16"/>
      <c r="AE29" s="16"/>
      <c r="AF29" s="16"/>
    </row>
    <row r="30" spans="1:32" ht="79.8" customHeight="1" x14ac:dyDescent="0.3">
      <c r="A30" s="22" t="s">
        <v>660</v>
      </c>
      <c r="B30" s="15" t="s">
        <v>33</v>
      </c>
      <c r="C30" s="15" t="s">
        <v>34</v>
      </c>
      <c r="D30" s="15" t="s">
        <v>34</v>
      </c>
      <c r="E30" s="21" t="s">
        <v>659</v>
      </c>
      <c r="F30" s="21" t="s">
        <v>659</v>
      </c>
      <c r="G30" s="16">
        <v>2026</v>
      </c>
      <c r="H30" s="21" t="s">
        <v>661</v>
      </c>
      <c r="I30" s="23" t="s">
        <v>661</v>
      </c>
      <c r="J30" s="15"/>
      <c r="K30" s="21" t="s">
        <v>662</v>
      </c>
      <c r="L30" s="23" t="s">
        <v>662</v>
      </c>
      <c r="M30" s="15"/>
      <c r="N30" s="16"/>
      <c r="O30" s="16"/>
      <c r="P30" s="16"/>
      <c r="Q30" s="15"/>
      <c r="R30" s="8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24" t="s">
        <v>664</v>
      </c>
      <c r="AF30" s="24" t="s">
        <v>663</v>
      </c>
    </row>
    <row r="31" spans="1:32" ht="79.8" hidden="1" customHeight="1" x14ac:dyDescent="0.3">
      <c r="A31" s="15" t="s">
        <v>151</v>
      </c>
      <c r="B31" s="15" t="s">
        <v>116</v>
      </c>
      <c r="C31" s="15" t="s">
        <v>157</v>
      </c>
      <c r="D31" s="15" t="s">
        <v>34</v>
      </c>
      <c r="E31" s="15" t="s">
        <v>158</v>
      </c>
      <c r="F31" s="15" t="s">
        <v>159</v>
      </c>
      <c r="G31" s="16" t="s">
        <v>160</v>
      </c>
      <c r="H31" s="15" t="s">
        <v>161</v>
      </c>
      <c r="I31" s="15" t="s">
        <v>162</v>
      </c>
      <c r="J31" s="15"/>
      <c r="K31" s="15" t="s">
        <v>122</v>
      </c>
      <c r="L31" s="15" t="s">
        <v>123</v>
      </c>
      <c r="M31" s="15"/>
      <c r="N31" s="16" t="s">
        <v>153</v>
      </c>
      <c r="O31" s="16" t="s">
        <v>153</v>
      </c>
      <c r="P31" s="16"/>
      <c r="Q31" s="15" t="s">
        <v>163</v>
      </c>
      <c r="R31" s="15"/>
      <c r="S31" s="16"/>
      <c r="T31" s="16"/>
      <c r="U31" s="16"/>
      <c r="V31" s="16" t="s">
        <v>39</v>
      </c>
      <c r="W31" s="16"/>
      <c r="X31" s="16" t="s">
        <v>124</v>
      </c>
      <c r="Y31" s="16"/>
      <c r="Z31" s="15"/>
      <c r="AA31" s="15"/>
      <c r="AB31" s="15"/>
      <c r="AC31" s="15"/>
      <c r="AD31" s="15"/>
      <c r="AE31" s="15"/>
      <c r="AF31" s="15"/>
    </row>
    <row r="32" spans="1:32" ht="79.8" hidden="1" customHeight="1" x14ac:dyDescent="0.3">
      <c r="A32" s="6" t="s">
        <v>151</v>
      </c>
      <c r="B32" s="6" t="s">
        <v>33</v>
      </c>
      <c r="C32" s="6" t="s">
        <v>102</v>
      </c>
      <c r="D32" s="6" t="s">
        <v>102</v>
      </c>
      <c r="E32" s="6" t="s">
        <v>142</v>
      </c>
      <c r="F32" s="6" t="s">
        <v>142</v>
      </c>
      <c r="G32" s="8">
        <v>2026</v>
      </c>
      <c r="H32" s="6" t="s">
        <v>152</v>
      </c>
      <c r="I32" s="6" t="str">
        <f>IF(B32="英文",H32,"")</f>
        <v>Tourism demand forecasting with multi-source data: a hybrid model incorporating seasonal-trend decomposition</v>
      </c>
      <c r="J32" s="6" t="s">
        <v>153</v>
      </c>
      <c r="K32" s="6" t="s">
        <v>154</v>
      </c>
      <c r="L32" s="6" t="str">
        <f>IF(B32="英文",K32,"")</f>
        <v>Annals of Operations Research</v>
      </c>
      <c r="M32" s="6" t="s">
        <v>155</v>
      </c>
      <c r="N32" s="20">
        <v>363</v>
      </c>
      <c r="O32" s="8">
        <v>2</v>
      </c>
      <c r="P32" s="20" t="s">
        <v>658</v>
      </c>
      <c r="Q32" s="6" t="s">
        <v>156</v>
      </c>
      <c r="R32" s="8" t="str" cm="1">
        <f t="array" ref="R32">_xlfn.LET(_xlpm.issn,TRIM(M32)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2" s="8" t="s">
        <v>39</v>
      </c>
      <c r="T32" s="8"/>
      <c r="U32" s="8"/>
      <c r="V32" s="8"/>
      <c r="W32" s="8"/>
      <c r="X32" s="8" t="s">
        <v>40</v>
      </c>
      <c r="Y32" s="8" t="s">
        <v>50</v>
      </c>
      <c r="Z32" s="6"/>
      <c r="AA32" s="6"/>
      <c r="AB32" s="6"/>
      <c r="AC32" s="6"/>
      <c r="AD32" s="6"/>
      <c r="AE32" s="6"/>
      <c r="AF32" s="6"/>
    </row>
    <row r="33" spans="1:32" ht="79.8" hidden="1" customHeight="1" x14ac:dyDescent="0.3">
      <c r="A33" s="6" t="s">
        <v>151</v>
      </c>
      <c r="B33" s="6" t="s">
        <v>33</v>
      </c>
      <c r="C33" s="6" t="s">
        <v>102</v>
      </c>
      <c r="D33" s="6" t="s">
        <v>102</v>
      </c>
      <c r="E33" s="6" t="s">
        <v>164</v>
      </c>
      <c r="F33" s="6" t="s">
        <v>164</v>
      </c>
      <c r="G33" s="8">
        <v>2026</v>
      </c>
      <c r="H33" s="6" t="s">
        <v>165</v>
      </c>
      <c r="I33" s="6" t="str">
        <f t="shared" ref="I33:I58" si="5">IF(B33="英文",H33,"")</f>
        <v>Targeting the right person: An optimization-driven framework for persuader selection in social networks with opinion evolution</v>
      </c>
      <c r="J33" s="6"/>
      <c r="K33" s="6" t="s">
        <v>43</v>
      </c>
      <c r="L33" s="6" t="str">
        <f t="shared" ref="L33:L58" si="6">IF(B33="英文",K33,"")</f>
        <v>European Journal of Operational Research</v>
      </c>
      <c r="M33" s="6" t="s">
        <v>44</v>
      </c>
      <c r="N33" s="8">
        <v>334</v>
      </c>
      <c r="O33" s="8">
        <v>1</v>
      </c>
      <c r="P33" s="8" t="s">
        <v>166</v>
      </c>
      <c r="Q33" s="6" t="s">
        <v>167</v>
      </c>
      <c r="R33" s="8" t="str" cm="1">
        <f t="array" ref="R33">_xlfn.LET(_xlpm.issn,TRIM(M33)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3" s="8" t="s">
        <v>39</v>
      </c>
      <c r="T33" s="8"/>
      <c r="U33" s="8" t="s">
        <v>39</v>
      </c>
      <c r="V33" s="8"/>
      <c r="W33" s="8"/>
      <c r="X33" s="8" t="s">
        <v>45</v>
      </c>
      <c r="Y33" s="8" t="s">
        <v>46</v>
      </c>
      <c r="Z33" s="6"/>
      <c r="AA33" s="6"/>
      <c r="AB33" s="6"/>
      <c r="AC33" s="6"/>
      <c r="AD33" s="6"/>
      <c r="AE33" s="6"/>
      <c r="AF33" s="6"/>
    </row>
    <row r="34" spans="1:32" ht="79.8" hidden="1" customHeight="1" x14ac:dyDescent="0.3">
      <c r="A34" s="15" t="s">
        <v>151</v>
      </c>
      <c r="B34" s="15" t="s">
        <v>33</v>
      </c>
      <c r="C34" s="15" t="s">
        <v>34</v>
      </c>
      <c r="D34" s="15" t="s">
        <v>34</v>
      </c>
      <c r="E34" s="17" t="s">
        <v>168</v>
      </c>
      <c r="F34" s="15" t="s">
        <v>168</v>
      </c>
      <c r="G34" s="16" t="s">
        <v>160</v>
      </c>
      <c r="H34" s="15" t="s">
        <v>169</v>
      </c>
      <c r="I34" s="6" t="str">
        <f t="shared" si="5"/>
        <v>Identification and management of non-cooperative behaviors in large-scale group decision-making: Review, taxonomy and challenges from an LLM perspective</v>
      </c>
      <c r="J34" s="15" t="s">
        <v>153</v>
      </c>
      <c r="K34" s="15" t="s">
        <v>96</v>
      </c>
      <c r="L34" s="6" t="str">
        <f t="shared" si="6"/>
        <v>Expert Systems with Applications</v>
      </c>
      <c r="M34" s="15" t="s">
        <v>97</v>
      </c>
      <c r="N34" s="16" t="s">
        <v>170</v>
      </c>
      <c r="O34" s="16" t="s">
        <v>153</v>
      </c>
      <c r="P34" s="16" t="s">
        <v>171</v>
      </c>
      <c r="Q34" s="15" t="s">
        <v>172</v>
      </c>
      <c r="R34" s="8" t="str" cm="1">
        <f t="array" ref="R34">_xlfn.LET(_xlpm.issn,TRIM(M34)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4" s="16" t="s">
        <v>39</v>
      </c>
      <c r="T34" s="16"/>
      <c r="U34" s="16" t="s">
        <v>39</v>
      </c>
      <c r="V34" s="16"/>
      <c r="W34" s="16"/>
      <c r="X34" s="16"/>
      <c r="Y34" s="16"/>
      <c r="Z34" s="15"/>
      <c r="AA34" s="15"/>
      <c r="AB34" s="15"/>
      <c r="AC34" s="15"/>
      <c r="AD34" s="15"/>
      <c r="AE34" s="15"/>
      <c r="AF34" s="15"/>
    </row>
    <row r="35" spans="1:32" ht="79.8" hidden="1" customHeight="1" x14ac:dyDescent="0.3">
      <c r="A35" s="6" t="s">
        <v>151</v>
      </c>
      <c r="B35" s="6" t="s">
        <v>33</v>
      </c>
      <c r="C35" s="6" t="s">
        <v>34</v>
      </c>
      <c r="D35" s="6" t="s">
        <v>34</v>
      </c>
      <c r="E35" s="6" t="s">
        <v>173</v>
      </c>
      <c r="F35" s="6" t="s">
        <v>173</v>
      </c>
      <c r="G35" s="8" t="s">
        <v>160</v>
      </c>
      <c r="H35" s="6" t="s">
        <v>174</v>
      </c>
      <c r="I35" s="6" t="str">
        <f t="shared" si="5"/>
        <v>KRAM: Knowledge-driven robust training against label noise for medication recommendation</v>
      </c>
      <c r="J35" s="6" t="s">
        <v>153</v>
      </c>
      <c r="K35" s="6" t="s">
        <v>96</v>
      </c>
      <c r="L35" s="6" t="str">
        <f t="shared" si="6"/>
        <v>Expert Systems with Applications</v>
      </c>
      <c r="M35" s="6" t="s">
        <v>97</v>
      </c>
      <c r="N35" s="8" t="s">
        <v>175</v>
      </c>
      <c r="O35" s="8" t="s">
        <v>153</v>
      </c>
      <c r="P35" s="8" t="s">
        <v>176</v>
      </c>
      <c r="Q35" s="6" t="s">
        <v>177</v>
      </c>
      <c r="R35" s="8" t="str" cm="1">
        <f t="array" ref="R35">_xlfn.LET(_xlpm.issn,TRIM(M35)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5" s="8" t="s">
        <v>39</v>
      </c>
      <c r="T35" s="8"/>
      <c r="U35" s="8" t="s">
        <v>39</v>
      </c>
      <c r="V35" s="8"/>
      <c r="W35" s="8"/>
      <c r="X35" s="8" t="s">
        <v>153</v>
      </c>
      <c r="Y35" s="8" t="s">
        <v>153</v>
      </c>
      <c r="Z35" s="6" t="s">
        <v>153</v>
      </c>
      <c r="AA35" s="6" t="s">
        <v>153</v>
      </c>
      <c r="AB35" s="6"/>
      <c r="AC35" s="6"/>
      <c r="AD35" s="6"/>
      <c r="AE35" s="6"/>
      <c r="AF35" s="6"/>
    </row>
    <row r="36" spans="1:32" ht="79.8" hidden="1" customHeight="1" x14ac:dyDescent="0.3">
      <c r="A36" s="15" t="s">
        <v>151</v>
      </c>
      <c r="B36" s="15" t="s">
        <v>33</v>
      </c>
      <c r="C36" s="15" t="s">
        <v>102</v>
      </c>
      <c r="D36" s="15" t="s">
        <v>102</v>
      </c>
      <c r="E36" s="15" t="s">
        <v>178</v>
      </c>
      <c r="F36" s="15" t="s">
        <v>178</v>
      </c>
      <c r="G36" s="16" t="s">
        <v>160</v>
      </c>
      <c r="H36" s="15" t="s">
        <v>179</v>
      </c>
      <c r="I36" s="6" t="str">
        <f t="shared" si="5"/>
        <v>Integrating personalized individual semantics and consistency control to support consensus reaching in 2-rank group decision making</v>
      </c>
      <c r="J36" s="15"/>
      <c r="K36" s="15" t="s">
        <v>67</v>
      </c>
      <c r="L36" s="6" t="str">
        <f t="shared" si="6"/>
        <v>IEEE Transactions on Systems, Man, and Cybernetics: Systems</v>
      </c>
      <c r="M36" s="15" t="s">
        <v>68</v>
      </c>
      <c r="N36" s="16" t="s">
        <v>180</v>
      </c>
      <c r="O36" s="16" t="s">
        <v>181</v>
      </c>
      <c r="P36" s="16" t="s">
        <v>182</v>
      </c>
      <c r="Q36" s="15" t="s">
        <v>183</v>
      </c>
      <c r="R36" s="8" t="str" cm="1">
        <f t="array" ref="R36">_xlfn.LET(_xlpm.issn,TRIM(M36)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6" s="16" t="s">
        <v>39</v>
      </c>
      <c r="T36" s="16"/>
      <c r="U36" s="16" t="s">
        <v>39</v>
      </c>
      <c r="V36" s="16"/>
      <c r="W36" s="16"/>
      <c r="X36" s="16" t="s">
        <v>40</v>
      </c>
      <c r="Y36" s="16" t="s">
        <v>50</v>
      </c>
      <c r="Z36" s="15" t="s">
        <v>153</v>
      </c>
      <c r="AA36" s="15" t="s">
        <v>153</v>
      </c>
      <c r="AB36" s="15"/>
      <c r="AC36" s="15"/>
      <c r="AD36" s="15"/>
      <c r="AE36" s="15"/>
      <c r="AF36" s="15"/>
    </row>
    <row r="37" spans="1:32" ht="79.8" hidden="1" customHeight="1" x14ac:dyDescent="0.3">
      <c r="A37" s="6" t="s">
        <v>151</v>
      </c>
      <c r="B37" s="6" t="s">
        <v>33</v>
      </c>
      <c r="C37" s="6" t="s">
        <v>184</v>
      </c>
      <c r="D37" s="6" t="s">
        <v>184</v>
      </c>
      <c r="E37" s="6" t="s">
        <v>185</v>
      </c>
      <c r="F37" s="6" t="s">
        <v>185</v>
      </c>
      <c r="G37" s="8" t="s">
        <v>160</v>
      </c>
      <c r="H37" s="6" t="s">
        <v>186</v>
      </c>
      <c r="I37" s="6" t="str">
        <f t="shared" si="5"/>
        <v>Preference learning for multi-criteria sorting with interacting criteria: A framework integrating threshold-based value-driven sorting procedure with attention network</v>
      </c>
      <c r="J37" s="6"/>
      <c r="K37" s="6" t="s">
        <v>83</v>
      </c>
      <c r="L37" s="6" t="str">
        <f t="shared" si="6"/>
        <v>Information Fusion</v>
      </c>
      <c r="M37" s="6" t="s">
        <v>84</v>
      </c>
      <c r="N37" s="8" t="s">
        <v>187</v>
      </c>
      <c r="O37" s="8" t="s">
        <v>153</v>
      </c>
      <c r="P37" s="8" t="s">
        <v>188</v>
      </c>
      <c r="Q37" s="6" t="s">
        <v>189</v>
      </c>
      <c r="R37" s="8" t="str" cm="1">
        <f t="array" ref="R37">_xlfn.LET(_xlpm.issn,TRIM(M37)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7" s="8" t="s">
        <v>39</v>
      </c>
      <c r="T37" s="8"/>
      <c r="U37" s="8" t="s">
        <v>39</v>
      </c>
      <c r="V37" s="8"/>
      <c r="W37" s="8"/>
      <c r="X37" s="8"/>
      <c r="Y37" s="8"/>
      <c r="Z37" s="6"/>
      <c r="AA37" s="6"/>
      <c r="AB37" s="6"/>
      <c r="AC37" s="6"/>
      <c r="AD37" s="6"/>
      <c r="AE37" s="6"/>
      <c r="AF37" s="6"/>
    </row>
    <row r="38" spans="1:32" ht="79.8" hidden="1" customHeight="1" x14ac:dyDescent="0.3">
      <c r="A38" s="15" t="s">
        <v>151</v>
      </c>
      <c r="B38" s="15" t="s">
        <v>33</v>
      </c>
      <c r="C38" s="15" t="s">
        <v>34</v>
      </c>
      <c r="D38" s="15" t="s">
        <v>34</v>
      </c>
      <c r="E38" s="15" t="s">
        <v>190</v>
      </c>
      <c r="F38" s="15" t="s">
        <v>190</v>
      </c>
      <c r="G38" s="16" t="s">
        <v>191</v>
      </c>
      <c r="H38" s="15" t="s">
        <v>192</v>
      </c>
      <c r="I38" s="6" t="str">
        <f t="shared" si="5"/>
        <v>An incremental preference elicitation-based approach to learning potentially non-monotonic preferences in multi-criteria sorting</v>
      </c>
      <c r="J38" s="15"/>
      <c r="K38" s="15" t="s">
        <v>43</v>
      </c>
      <c r="L38" s="6" t="str">
        <f t="shared" si="6"/>
        <v>European Journal of Operational Research</v>
      </c>
      <c r="M38" s="15" t="s">
        <v>44</v>
      </c>
      <c r="N38" s="16" t="s">
        <v>193</v>
      </c>
      <c r="O38" s="16" t="s">
        <v>181</v>
      </c>
      <c r="P38" s="16" t="s">
        <v>194</v>
      </c>
      <c r="Q38" s="15" t="s">
        <v>195</v>
      </c>
      <c r="R38" s="8" t="str" cm="1">
        <f t="array" ref="R38">_xlfn.LET(_xlpm.issn,TRIM(M38)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8" s="16" t="s">
        <v>39</v>
      </c>
      <c r="T38" s="16"/>
      <c r="U38" s="16" t="s">
        <v>39</v>
      </c>
      <c r="V38" s="16"/>
      <c r="W38" s="16"/>
      <c r="X38" s="16" t="s">
        <v>45</v>
      </c>
      <c r="Y38" s="16" t="s">
        <v>46</v>
      </c>
      <c r="Z38" s="15"/>
      <c r="AA38" s="15"/>
      <c r="AB38" s="15"/>
      <c r="AC38" s="15"/>
      <c r="AD38" s="15"/>
      <c r="AE38" s="15"/>
      <c r="AF38" s="15"/>
    </row>
    <row r="39" spans="1:32" ht="79.8" hidden="1" customHeight="1" x14ac:dyDescent="0.3">
      <c r="A39" s="6" t="s">
        <v>151</v>
      </c>
      <c r="B39" s="6" t="s">
        <v>33</v>
      </c>
      <c r="C39" s="6" t="s">
        <v>34</v>
      </c>
      <c r="D39" s="6" t="s">
        <v>34</v>
      </c>
      <c r="E39" s="6" t="s">
        <v>190</v>
      </c>
      <c r="F39" s="6" t="s">
        <v>190</v>
      </c>
      <c r="G39" s="8" t="s">
        <v>191</v>
      </c>
      <c r="H39" s="6" t="s">
        <v>196</v>
      </c>
      <c r="I39" s="6" t="str">
        <f t="shared" si="5"/>
        <v>Integrating machine learning models to learn potentially non-monotonic preferences for multi-criteria sorting from large-scale assignment examples</v>
      </c>
      <c r="J39" s="6"/>
      <c r="K39" s="6" t="s">
        <v>37</v>
      </c>
      <c r="L39" s="6" t="str">
        <f t="shared" si="6"/>
        <v>Omega</v>
      </c>
      <c r="M39" s="6" t="s">
        <v>38</v>
      </c>
      <c r="N39" s="8" t="s">
        <v>197</v>
      </c>
      <c r="O39" s="8" t="s">
        <v>153</v>
      </c>
      <c r="P39" s="8" t="s">
        <v>198</v>
      </c>
      <c r="Q39" s="6" t="s">
        <v>199</v>
      </c>
      <c r="R39" s="8" t="str" cm="1">
        <f t="array" ref="R39">_xlfn.LET(_xlpm.issn,TRIM(M39)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39" s="8" t="s">
        <v>39</v>
      </c>
      <c r="T39" s="8" t="s">
        <v>39</v>
      </c>
      <c r="U39" s="8" t="s">
        <v>39</v>
      </c>
      <c r="V39" s="8"/>
      <c r="W39" s="8"/>
      <c r="X39" s="8" t="s">
        <v>40</v>
      </c>
      <c r="Y39" s="8" t="s">
        <v>50</v>
      </c>
      <c r="Z39" s="6"/>
      <c r="AA39" s="6"/>
      <c r="AB39" s="6" t="s">
        <v>200</v>
      </c>
      <c r="AC39" s="6" t="s">
        <v>201</v>
      </c>
      <c r="AD39" s="6"/>
      <c r="AE39" s="6"/>
      <c r="AF39" s="6"/>
    </row>
    <row r="40" spans="1:32" ht="79.8" hidden="1" customHeight="1" x14ac:dyDescent="0.3">
      <c r="A40" s="15" t="s">
        <v>151</v>
      </c>
      <c r="B40" s="15" t="s">
        <v>33</v>
      </c>
      <c r="C40" s="15" t="s">
        <v>202</v>
      </c>
      <c r="D40" s="15" t="s">
        <v>202</v>
      </c>
      <c r="E40" s="15" t="s">
        <v>203</v>
      </c>
      <c r="F40" s="15" t="s">
        <v>203</v>
      </c>
      <c r="G40" s="16" t="s">
        <v>191</v>
      </c>
      <c r="H40" s="15" t="s">
        <v>204</v>
      </c>
      <c r="I40" s="6" t="str">
        <f t="shared" si="5"/>
        <v>Lexicographic optimization-based approaches to learning a representative model for multi-criteria sorting with non-monotonic criteria</v>
      </c>
      <c r="J40" s="15"/>
      <c r="K40" s="15" t="s">
        <v>78</v>
      </c>
      <c r="L40" s="6" t="str">
        <f t="shared" si="6"/>
        <v>Computers &amp; Operations Research</v>
      </c>
      <c r="M40" s="15" t="s">
        <v>79</v>
      </c>
      <c r="N40" s="16" t="s">
        <v>205</v>
      </c>
      <c r="O40" s="16" t="s">
        <v>153</v>
      </c>
      <c r="P40" s="16" t="s">
        <v>206</v>
      </c>
      <c r="Q40" s="15" t="s">
        <v>207</v>
      </c>
      <c r="R40" s="8" t="str" cm="1">
        <f t="array" ref="R40">_xlfn.LET(_xlpm.issn,TRIM(M40)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0" s="16" t="s">
        <v>39</v>
      </c>
      <c r="T40" s="16"/>
      <c r="U40" s="16" t="s">
        <v>39</v>
      </c>
      <c r="V40" s="16"/>
      <c r="W40" s="16"/>
      <c r="X40" s="16" t="s">
        <v>40</v>
      </c>
      <c r="Y40" s="16" t="s">
        <v>50</v>
      </c>
      <c r="Z40" s="15"/>
      <c r="AA40" s="15"/>
      <c r="AB40" s="15"/>
      <c r="AC40" s="15"/>
      <c r="AD40" s="15"/>
      <c r="AE40" s="15"/>
      <c r="AF40" s="15"/>
    </row>
    <row r="41" spans="1:32" ht="79.8" hidden="1" customHeight="1" x14ac:dyDescent="0.3">
      <c r="A41" s="6" t="s">
        <v>151</v>
      </c>
      <c r="B41" s="6" t="s">
        <v>33</v>
      </c>
      <c r="C41" s="6" t="s">
        <v>34</v>
      </c>
      <c r="D41" s="6" t="s">
        <v>34</v>
      </c>
      <c r="E41" s="6" t="s">
        <v>208</v>
      </c>
      <c r="F41" s="6" t="s">
        <v>208</v>
      </c>
      <c r="G41" s="8" t="s">
        <v>191</v>
      </c>
      <c r="H41" s="6" t="s">
        <v>209</v>
      </c>
      <c r="I41" s="6" t="str">
        <f t="shared" si="5"/>
        <v>Modeling personalized individual semantics in multicriteria decision making with incomplete linguistic preference relations: A preference disaggregation perspective</v>
      </c>
      <c r="J41" s="6"/>
      <c r="K41" s="6" t="s">
        <v>67</v>
      </c>
      <c r="L41" s="6" t="str">
        <f t="shared" si="6"/>
        <v>IEEE Transactions on Systems, Man, and Cybernetics: Systems</v>
      </c>
      <c r="M41" s="6" t="s">
        <v>68</v>
      </c>
      <c r="N41" s="8" t="s">
        <v>210</v>
      </c>
      <c r="O41" s="8" t="s">
        <v>211</v>
      </c>
      <c r="P41" s="8" t="s">
        <v>212</v>
      </c>
      <c r="Q41" s="6" t="s">
        <v>213</v>
      </c>
      <c r="R41" s="8" t="str" cm="1">
        <f t="array" ref="R41">_xlfn.LET(_xlpm.issn,TRIM(M41)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1" s="8" t="s">
        <v>39</v>
      </c>
      <c r="T41" s="8"/>
      <c r="U41" s="8" t="s">
        <v>39</v>
      </c>
      <c r="V41" s="8"/>
      <c r="W41" s="8"/>
      <c r="X41" s="8" t="s">
        <v>40</v>
      </c>
      <c r="Y41" s="8">
        <v>3</v>
      </c>
      <c r="Z41" s="6"/>
      <c r="AA41" s="6"/>
      <c r="AB41" s="6"/>
      <c r="AC41" s="6"/>
      <c r="AD41" s="6"/>
      <c r="AE41" s="6"/>
      <c r="AF41" s="6"/>
    </row>
    <row r="42" spans="1:32" ht="79.8" hidden="1" customHeight="1" x14ac:dyDescent="0.3">
      <c r="A42" s="15" t="s">
        <v>151</v>
      </c>
      <c r="B42" s="15" t="s">
        <v>33</v>
      </c>
      <c r="C42" s="15" t="s">
        <v>34</v>
      </c>
      <c r="D42" s="15" t="s">
        <v>34</v>
      </c>
      <c r="E42" s="15" t="s">
        <v>61</v>
      </c>
      <c r="F42" s="15" t="s">
        <v>61</v>
      </c>
      <c r="G42" s="16" t="s">
        <v>191</v>
      </c>
      <c r="H42" s="15" t="s">
        <v>214</v>
      </c>
      <c r="I42" s="6" t="str">
        <f t="shared" si="5"/>
        <v>Generation of granular-balls for clustering based on the principle of justifiable granularity</v>
      </c>
      <c r="J42" s="15"/>
      <c r="K42" s="15" t="s">
        <v>75</v>
      </c>
      <c r="L42" s="6" t="str">
        <f t="shared" si="6"/>
        <v>IEEE Transactions on Cybernetics</v>
      </c>
      <c r="M42" s="15" t="s">
        <v>76</v>
      </c>
      <c r="N42" s="16" t="s">
        <v>210</v>
      </c>
      <c r="O42" s="16" t="s">
        <v>46</v>
      </c>
      <c r="P42" s="16" t="s">
        <v>215</v>
      </c>
      <c r="Q42" s="15" t="s">
        <v>216</v>
      </c>
      <c r="R42" s="8" t="str" cm="1">
        <f t="array" ref="R42">_xlfn.LET(_xlpm.issn,TRIM(M42)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2" s="16" t="s">
        <v>39</v>
      </c>
      <c r="T42" s="16"/>
      <c r="U42" s="16" t="s">
        <v>39</v>
      </c>
      <c r="V42" s="16"/>
      <c r="W42" s="16"/>
      <c r="X42" s="16" t="s">
        <v>40</v>
      </c>
      <c r="Y42" s="16" t="s">
        <v>50</v>
      </c>
      <c r="Z42" s="15"/>
      <c r="AA42" s="15"/>
      <c r="AB42" s="15"/>
      <c r="AC42" s="15"/>
      <c r="AD42" s="15"/>
      <c r="AE42" s="15"/>
      <c r="AF42" s="15"/>
    </row>
    <row r="43" spans="1:32" ht="79.8" hidden="1" customHeight="1" x14ac:dyDescent="0.3">
      <c r="A43" s="6" t="s">
        <v>151</v>
      </c>
      <c r="B43" s="6" t="s">
        <v>33</v>
      </c>
      <c r="C43" s="6" t="s">
        <v>34</v>
      </c>
      <c r="D43" s="6" t="s">
        <v>34</v>
      </c>
      <c r="E43" s="6" t="s">
        <v>217</v>
      </c>
      <c r="F43" s="6" t="s">
        <v>217</v>
      </c>
      <c r="G43" s="8" t="s">
        <v>191</v>
      </c>
      <c r="H43" s="6" t="s">
        <v>218</v>
      </c>
      <c r="I43" s="6" t="str">
        <f t="shared" si="5"/>
        <v>Automatic consensus models to balance consensus cost, consistency level and consensus degree with attitudinal trust mechanism</v>
      </c>
      <c r="J43" s="6"/>
      <c r="K43" s="6" t="s">
        <v>111</v>
      </c>
      <c r="L43" s="6" t="str">
        <f t="shared" si="6"/>
        <v>Information Sciences</v>
      </c>
      <c r="M43" s="6" t="s">
        <v>112</v>
      </c>
      <c r="N43" s="8" t="s">
        <v>219</v>
      </c>
      <c r="O43" s="8" t="s">
        <v>153</v>
      </c>
      <c r="P43" s="8" t="s">
        <v>220</v>
      </c>
      <c r="Q43" s="6" t="s">
        <v>221</v>
      </c>
      <c r="R43" s="8" t="str" cm="1">
        <f t="array" ref="R43">_xlfn.LET(_xlpm.issn,TRIM(M43)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3" s="8" t="s">
        <v>39</v>
      </c>
      <c r="T43" s="8"/>
      <c r="U43" s="8" t="s">
        <v>39</v>
      </c>
      <c r="V43" s="8"/>
      <c r="W43" s="8"/>
      <c r="X43" s="8" t="s">
        <v>40</v>
      </c>
      <c r="Y43" s="8"/>
      <c r="Z43" s="6"/>
      <c r="AA43" s="6"/>
      <c r="AB43" s="6"/>
      <c r="AC43" s="6"/>
      <c r="AD43" s="6"/>
      <c r="AE43" s="6"/>
      <c r="AF43" s="6"/>
    </row>
    <row r="44" spans="1:32" ht="79.8" hidden="1" customHeight="1" x14ac:dyDescent="0.3">
      <c r="A44" s="15" t="s">
        <v>151</v>
      </c>
      <c r="B44" s="15" t="s">
        <v>33</v>
      </c>
      <c r="C44" s="15" t="s">
        <v>34</v>
      </c>
      <c r="D44" s="15" t="s">
        <v>34</v>
      </c>
      <c r="E44" s="15" t="s">
        <v>222</v>
      </c>
      <c r="F44" s="15" t="s">
        <v>222</v>
      </c>
      <c r="G44" s="16" t="s">
        <v>191</v>
      </c>
      <c r="H44" s="15" t="s">
        <v>223</v>
      </c>
      <c r="I44" s="6" t="str">
        <f t="shared" si="5"/>
        <v>Constructive preference elicitation for multi-criteria decision analysis using an estimate-then-select strategy</v>
      </c>
      <c r="J44" s="15"/>
      <c r="K44" s="15" t="s">
        <v>83</v>
      </c>
      <c r="L44" s="6" t="str">
        <f t="shared" si="6"/>
        <v>Information Fusion</v>
      </c>
      <c r="M44" s="15" t="s">
        <v>84</v>
      </c>
      <c r="N44" s="16" t="s">
        <v>224</v>
      </c>
      <c r="O44" s="16" t="s">
        <v>153</v>
      </c>
      <c r="P44" s="16" t="s">
        <v>225</v>
      </c>
      <c r="Q44" s="15" t="s">
        <v>226</v>
      </c>
      <c r="R44" s="8" t="str" cm="1">
        <f t="array" ref="R44">_xlfn.LET(_xlpm.issn,TRIM(M44)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4" s="16" t="s">
        <v>39</v>
      </c>
      <c r="T44" s="16"/>
      <c r="U44" s="16" t="s">
        <v>39</v>
      </c>
      <c r="V44" s="16"/>
      <c r="W44" s="16"/>
      <c r="X44" s="16"/>
      <c r="Y44" s="16"/>
      <c r="Z44" s="15"/>
      <c r="AA44" s="15"/>
      <c r="AB44" s="15"/>
      <c r="AC44" s="15"/>
      <c r="AD44" s="15"/>
      <c r="AE44" s="15"/>
      <c r="AF44" s="15"/>
    </row>
    <row r="45" spans="1:32" ht="79.8" hidden="1" customHeight="1" x14ac:dyDescent="0.3">
      <c r="A45" s="6" t="s">
        <v>151</v>
      </c>
      <c r="B45" s="6" t="s">
        <v>33</v>
      </c>
      <c r="C45" s="6" t="s">
        <v>227</v>
      </c>
      <c r="D45" s="6" t="s">
        <v>227</v>
      </c>
      <c r="E45" s="6" t="s">
        <v>228</v>
      </c>
      <c r="F45" s="6" t="s">
        <v>228</v>
      </c>
      <c r="G45" s="8" t="s">
        <v>191</v>
      </c>
      <c r="H45" s="6" t="s">
        <v>229</v>
      </c>
      <c r="I45" s="6" t="str">
        <f t="shared" si="5"/>
        <v>Social network group decision making: Characterization, taxonomy, challenges and future directions from an AI and LLMs perspective</v>
      </c>
      <c r="J45" s="6"/>
      <c r="K45" s="6" t="s">
        <v>83</v>
      </c>
      <c r="L45" s="6" t="str">
        <f t="shared" si="6"/>
        <v>Information Fusion</v>
      </c>
      <c r="M45" s="6" t="s">
        <v>84</v>
      </c>
      <c r="N45" s="8" t="s">
        <v>230</v>
      </c>
      <c r="O45" s="8" t="s">
        <v>153</v>
      </c>
      <c r="P45" s="8" t="s">
        <v>231</v>
      </c>
      <c r="Q45" s="6" t="s">
        <v>232</v>
      </c>
      <c r="R45" s="8" t="str" cm="1">
        <f t="array" ref="R45">_xlfn.LET(_xlpm.issn,TRIM(M45)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5" s="8" t="s">
        <v>39</v>
      </c>
      <c r="T45" s="8"/>
      <c r="U45" s="8" t="s">
        <v>39</v>
      </c>
      <c r="V45" s="8"/>
      <c r="W45" s="8"/>
      <c r="X45" s="8"/>
      <c r="Y45" s="8"/>
      <c r="Z45" s="6" t="s">
        <v>39</v>
      </c>
      <c r="AA45" s="19" t="s">
        <v>39</v>
      </c>
      <c r="AB45" s="6"/>
      <c r="AC45" s="6"/>
      <c r="AD45" s="6"/>
      <c r="AE45" s="6"/>
      <c r="AF45" s="6"/>
    </row>
    <row r="46" spans="1:32" ht="79.8" hidden="1" customHeight="1" x14ac:dyDescent="0.3">
      <c r="A46" s="15" t="s">
        <v>151</v>
      </c>
      <c r="B46" s="15" t="s">
        <v>33</v>
      </c>
      <c r="C46" s="15" t="s">
        <v>34</v>
      </c>
      <c r="D46" s="15" t="s">
        <v>34</v>
      </c>
      <c r="E46" s="15" t="s">
        <v>233</v>
      </c>
      <c r="F46" s="15" t="s">
        <v>233</v>
      </c>
      <c r="G46" s="16" t="s">
        <v>191</v>
      </c>
      <c r="H46" s="15" t="s">
        <v>234</v>
      </c>
      <c r="I46" s="6" t="str">
        <f t="shared" si="5"/>
        <v>Carbon price prediction for China's ETS pilots using variational mode decomposition and optimized extreme learning machine</v>
      </c>
      <c r="J46" s="15"/>
      <c r="K46" s="15" t="s">
        <v>154</v>
      </c>
      <c r="L46" s="6" t="str">
        <f t="shared" si="6"/>
        <v>Annals of Operations Research</v>
      </c>
      <c r="M46" s="15" t="s">
        <v>155</v>
      </c>
      <c r="N46" s="16" t="s">
        <v>235</v>
      </c>
      <c r="O46" s="16" t="s">
        <v>236</v>
      </c>
      <c r="P46" s="16" t="s">
        <v>237</v>
      </c>
      <c r="Q46" s="15" t="s">
        <v>238</v>
      </c>
      <c r="R46" s="8" t="str" cm="1">
        <f t="array" ref="R46">_xlfn.LET(_xlpm.issn,TRIM(M46)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6" s="16" t="s">
        <v>39</v>
      </c>
      <c r="T46" s="16"/>
      <c r="U46" s="16"/>
      <c r="V46" s="16"/>
      <c r="W46" s="16"/>
      <c r="X46" s="16" t="s">
        <v>40</v>
      </c>
      <c r="Y46" s="16">
        <v>3</v>
      </c>
      <c r="Z46" s="15"/>
      <c r="AA46" s="15"/>
      <c r="AB46" s="15"/>
      <c r="AC46" s="15"/>
      <c r="AD46" s="15"/>
      <c r="AE46" s="15"/>
      <c r="AF46" s="15"/>
    </row>
    <row r="47" spans="1:32" ht="79.8" hidden="1" customHeight="1" x14ac:dyDescent="0.3">
      <c r="A47" s="6" t="s">
        <v>151</v>
      </c>
      <c r="B47" s="6" t="s">
        <v>33</v>
      </c>
      <c r="C47" s="6" t="s">
        <v>239</v>
      </c>
      <c r="D47" s="6" t="s">
        <v>239</v>
      </c>
      <c r="E47" s="6" t="s">
        <v>240</v>
      </c>
      <c r="F47" s="6" t="s">
        <v>240</v>
      </c>
      <c r="G47" s="8" t="s">
        <v>191</v>
      </c>
      <c r="H47" s="6" t="s">
        <v>241</v>
      </c>
      <c r="I47" s="6" t="str">
        <f t="shared" si="5"/>
        <v>Dynamic nonlinear connectedness between the green bonds, clean energy, and stock price: the impact of the COVID-19 pandemic</v>
      </c>
      <c r="J47" s="6"/>
      <c r="K47" s="6" t="s">
        <v>154</v>
      </c>
      <c r="L47" s="6" t="str">
        <f t="shared" si="6"/>
        <v>Annals of Operations Research</v>
      </c>
      <c r="M47" s="6" t="s">
        <v>155</v>
      </c>
      <c r="N47" s="8" t="s">
        <v>235</v>
      </c>
      <c r="O47" s="8" t="s">
        <v>236</v>
      </c>
      <c r="P47" s="8" t="s">
        <v>242</v>
      </c>
      <c r="Q47" s="6" t="s">
        <v>243</v>
      </c>
      <c r="R47" s="8" t="str" cm="1">
        <f t="array" ref="R47">_xlfn.LET(_xlpm.issn,TRIM(M47)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7" s="8" t="s">
        <v>39</v>
      </c>
      <c r="T47" s="8"/>
      <c r="U47" s="8"/>
      <c r="V47" s="8"/>
      <c r="W47" s="8"/>
      <c r="X47" s="8" t="s">
        <v>40</v>
      </c>
      <c r="Y47" s="8">
        <v>3</v>
      </c>
      <c r="Z47" s="6" t="s">
        <v>39</v>
      </c>
      <c r="AA47" s="6"/>
      <c r="AB47" s="6"/>
      <c r="AC47" s="6"/>
      <c r="AD47" s="6"/>
      <c r="AE47" s="6"/>
      <c r="AF47" s="6"/>
    </row>
    <row r="48" spans="1:32" ht="79.8" hidden="1" customHeight="1" x14ac:dyDescent="0.3">
      <c r="A48" s="15" t="s">
        <v>151</v>
      </c>
      <c r="B48" s="15" t="s">
        <v>33</v>
      </c>
      <c r="C48" s="15" t="s">
        <v>227</v>
      </c>
      <c r="D48" s="15" t="s">
        <v>227</v>
      </c>
      <c r="E48" s="15" t="s">
        <v>244</v>
      </c>
      <c r="F48" s="15" t="s">
        <v>244</v>
      </c>
      <c r="G48" s="16" t="s">
        <v>191</v>
      </c>
      <c r="H48" s="15" t="s">
        <v>245</v>
      </c>
      <c r="I48" s="6" t="str">
        <f t="shared" si="5"/>
        <v>A stability analysis for the online retailing cyber security situation piecewise variable weight rating method</v>
      </c>
      <c r="J48" s="15" t="s">
        <v>153</v>
      </c>
      <c r="K48" s="15" t="s">
        <v>246</v>
      </c>
      <c r="L48" s="6" t="str">
        <f t="shared" si="6"/>
        <v>Applied Intelligence</v>
      </c>
      <c r="M48" s="15" t="s">
        <v>247</v>
      </c>
      <c r="N48" s="16" t="s">
        <v>210</v>
      </c>
      <c r="O48" s="16" t="s">
        <v>248</v>
      </c>
      <c r="P48" s="16" t="s">
        <v>249</v>
      </c>
      <c r="Q48" s="15" t="s">
        <v>250</v>
      </c>
      <c r="R48" s="8" t="str" cm="1">
        <f t="array" ref="R48">_xlfn.LET(_xlpm.issn,TRIM(M48)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8" s="16" t="s">
        <v>39</v>
      </c>
      <c r="T48" s="16"/>
      <c r="U48" s="16" t="s">
        <v>39</v>
      </c>
      <c r="V48" s="16"/>
      <c r="W48" s="16"/>
      <c r="X48" s="16" t="s">
        <v>153</v>
      </c>
      <c r="Y48" s="16" t="s">
        <v>153</v>
      </c>
      <c r="Z48" s="15" t="s">
        <v>153</v>
      </c>
      <c r="AA48" s="15" t="s">
        <v>153</v>
      </c>
      <c r="AB48" s="15"/>
      <c r="AC48" s="15"/>
      <c r="AD48" s="15"/>
      <c r="AE48" s="15"/>
      <c r="AF48" s="15"/>
    </row>
    <row r="49" spans="1:32" ht="79.8" hidden="1" customHeight="1" x14ac:dyDescent="0.3">
      <c r="A49" s="6" t="s">
        <v>251</v>
      </c>
      <c r="B49" s="6" t="s">
        <v>33</v>
      </c>
      <c r="C49" s="6"/>
      <c r="D49" s="6"/>
      <c r="E49" s="6" t="s">
        <v>252</v>
      </c>
      <c r="F49" s="6" t="s">
        <v>252</v>
      </c>
      <c r="G49" s="8" t="s">
        <v>253</v>
      </c>
      <c r="H49" s="6" t="s">
        <v>254</v>
      </c>
      <c r="I49" s="6" t="str">
        <f t="shared" si="5"/>
        <v>Modeling Complex Linguistic Information to Support Group Decision Making Under Uncertainty - Theories, Methods and Applications</v>
      </c>
      <c r="J49" s="6" t="s">
        <v>255</v>
      </c>
      <c r="K49" s="6" t="s">
        <v>256</v>
      </c>
      <c r="L49" s="6" t="str">
        <f t="shared" si="6"/>
        <v>Springer Nature</v>
      </c>
      <c r="M49" s="6"/>
      <c r="N49" s="8" t="s">
        <v>153</v>
      </c>
      <c r="O49" s="8" t="s">
        <v>153</v>
      </c>
      <c r="P49" s="8" t="s">
        <v>153</v>
      </c>
      <c r="Q49" s="6" t="s">
        <v>257</v>
      </c>
      <c r="R49" s="6" t="str" cm="1">
        <f t="array" ref="R49">_xlfn.LET(_xlpm.issn,TRIM(M49)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49" s="8"/>
      <c r="T49" s="8"/>
      <c r="U49" s="8"/>
      <c r="V49" s="8"/>
      <c r="W49" s="8"/>
      <c r="X49" s="8"/>
      <c r="Y49" s="8"/>
      <c r="Z49" s="6"/>
      <c r="AA49" s="6"/>
      <c r="AB49" s="6"/>
      <c r="AC49" s="6"/>
      <c r="AD49" s="6" t="s">
        <v>258</v>
      </c>
      <c r="AE49" s="6"/>
      <c r="AF49" s="6"/>
    </row>
    <row r="50" spans="1:32" ht="79.8" hidden="1" customHeight="1" x14ac:dyDescent="0.3">
      <c r="A50" s="15" t="s">
        <v>151</v>
      </c>
      <c r="B50" s="15" t="s">
        <v>33</v>
      </c>
      <c r="C50" s="15" t="s">
        <v>227</v>
      </c>
      <c r="D50" s="15" t="s">
        <v>227</v>
      </c>
      <c r="E50" s="15" t="s">
        <v>259</v>
      </c>
      <c r="F50" s="15" t="s">
        <v>259</v>
      </c>
      <c r="G50" s="16" t="s">
        <v>253</v>
      </c>
      <c r="H50" s="15" t="s">
        <v>260</v>
      </c>
      <c r="I50" s="6" t="str">
        <f t="shared" si="5"/>
        <v>A quality function deployment model by social network and group decision making: Application to product design of e-commerce platforms</v>
      </c>
      <c r="J50" s="15"/>
      <c r="K50" s="15" t="s">
        <v>261</v>
      </c>
      <c r="L50" s="6" t="str">
        <f t="shared" si="6"/>
        <v>Engineering Applications of Artificial Intelligence</v>
      </c>
      <c r="M50" s="15" t="s">
        <v>262</v>
      </c>
      <c r="N50" s="16" t="s">
        <v>263</v>
      </c>
      <c r="O50" s="16" t="s">
        <v>153</v>
      </c>
      <c r="P50" s="16" t="s">
        <v>264</v>
      </c>
      <c r="Q50" s="15" t="s">
        <v>265</v>
      </c>
      <c r="R50" s="8" t="str" cm="1">
        <f t="array" ref="R50">_xlfn.LET(_xlpm.issn,TRIM(M50)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0" s="16" t="s">
        <v>39</v>
      </c>
      <c r="T50" s="16"/>
      <c r="U50" s="16" t="s">
        <v>39</v>
      </c>
      <c r="V50" s="16"/>
      <c r="W50" s="16"/>
      <c r="X50" s="16"/>
      <c r="Y50" s="16"/>
      <c r="Z50" s="15"/>
      <c r="AA50" s="15"/>
      <c r="AB50" s="15"/>
      <c r="AC50" s="15"/>
      <c r="AD50" s="15"/>
      <c r="AE50" s="15"/>
      <c r="AF50" s="15"/>
    </row>
    <row r="51" spans="1:32" ht="79.8" hidden="1" customHeight="1" x14ac:dyDescent="0.3">
      <c r="A51" s="6" t="s">
        <v>151</v>
      </c>
      <c r="B51" s="6" t="s">
        <v>33</v>
      </c>
      <c r="C51" s="6" t="s">
        <v>266</v>
      </c>
      <c r="D51" s="6" t="s">
        <v>266</v>
      </c>
      <c r="E51" s="6" t="s">
        <v>267</v>
      </c>
      <c r="F51" s="6" t="s">
        <v>267</v>
      </c>
      <c r="G51" s="8" t="s">
        <v>253</v>
      </c>
      <c r="H51" s="6" t="s">
        <v>268</v>
      </c>
      <c r="I51" s="6" t="str">
        <f t="shared" si="5"/>
        <v>Mining maximum ordinal-cardinal consensus for large-scale group decision making with incomplete fuzzy preference relations</v>
      </c>
      <c r="J51" s="6"/>
      <c r="K51" s="6" t="s">
        <v>269</v>
      </c>
      <c r="L51" s="6" t="str">
        <f t="shared" si="6"/>
        <v>IEEE Transactions on Fuzzy Systems</v>
      </c>
      <c r="M51" s="6" t="s">
        <v>270</v>
      </c>
      <c r="N51" s="8" t="s">
        <v>271</v>
      </c>
      <c r="O51" s="8" t="s">
        <v>272</v>
      </c>
      <c r="P51" s="8" t="s">
        <v>273</v>
      </c>
      <c r="Q51" s="6" t="s">
        <v>274</v>
      </c>
      <c r="R51" s="8" t="str" cm="1">
        <f t="array" ref="R51">_xlfn.LET(_xlpm.issn,TRIM(M51)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1" s="8" t="s">
        <v>39</v>
      </c>
      <c r="T51" s="8"/>
      <c r="U51" s="8" t="s">
        <v>39</v>
      </c>
      <c r="V51" s="8"/>
      <c r="W51" s="8"/>
      <c r="X51" s="8"/>
      <c r="Y51" s="8"/>
      <c r="Z51" s="6"/>
      <c r="AA51" s="6"/>
      <c r="AB51" s="6"/>
      <c r="AC51" s="6"/>
      <c r="AD51" s="6"/>
      <c r="AE51" s="6"/>
      <c r="AF51" s="6"/>
    </row>
    <row r="52" spans="1:32" ht="79.8" hidden="1" customHeight="1" x14ac:dyDescent="0.3">
      <c r="A52" s="15" t="s">
        <v>151</v>
      </c>
      <c r="B52" s="15" t="s">
        <v>33</v>
      </c>
      <c r="C52" s="15" t="s">
        <v>102</v>
      </c>
      <c r="D52" s="15" t="s">
        <v>102</v>
      </c>
      <c r="E52" s="15" t="s">
        <v>119</v>
      </c>
      <c r="F52" s="15" t="s">
        <v>119</v>
      </c>
      <c r="G52" s="16" t="s">
        <v>253</v>
      </c>
      <c r="H52" s="15" t="s">
        <v>275</v>
      </c>
      <c r="I52" s="6" t="str">
        <f t="shared" si="5"/>
        <v>Consensus reaching for ordinal classification-based group decision making with heterogeneous preference information</v>
      </c>
      <c r="J52" s="15"/>
      <c r="K52" s="15" t="s">
        <v>72</v>
      </c>
      <c r="L52" s="6" t="str">
        <f t="shared" si="6"/>
        <v>Journal of the Operational Research Society</v>
      </c>
      <c r="M52" s="15" t="s">
        <v>73</v>
      </c>
      <c r="N52" s="16" t="s">
        <v>276</v>
      </c>
      <c r="O52" s="16" t="s">
        <v>181</v>
      </c>
      <c r="P52" s="16" t="s">
        <v>277</v>
      </c>
      <c r="Q52" s="15" t="s">
        <v>278</v>
      </c>
      <c r="R52" s="8" t="str" cm="1">
        <f t="array" ref="R52">_xlfn.LET(_xlpm.issn,TRIM(M52)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2" s="16" t="s">
        <v>39</v>
      </c>
      <c r="T52" s="16" t="s">
        <v>39</v>
      </c>
      <c r="U52" s="16" t="s">
        <v>39</v>
      </c>
      <c r="V52" s="16"/>
      <c r="W52" s="16"/>
      <c r="X52" s="16" t="s">
        <v>40</v>
      </c>
      <c r="Y52" s="16">
        <v>3</v>
      </c>
      <c r="Z52" s="15" t="s">
        <v>39</v>
      </c>
      <c r="AA52" s="15"/>
      <c r="AB52" s="15"/>
      <c r="AC52" s="15"/>
      <c r="AD52" s="15"/>
      <c r="AE52" s="15"/>
      <c r="AF52" s="15"/>
    </row>
    <row r="53" spans="1:32" ht="79.8" hidden="1" customHeight="1" x14ac:dyDescent="0.3">
      <c r="A53" s="6" t="s">
        <v>151</v>
      </c>
      <c r="B53" s="6" t="s">
        <v>33</v>
      </c>
      <c r="C53" s="6" t="s">
        <v>34</v>
      </c>
      <c r="D53" s="6" t="s">
        <v>34</v>
      </c>
      <c r="E53" s="6" t="s">
        <v>208</v>
      </c>
      <c r="F53" s="6" t="s">
        <v>208</v>
      </c>
      <c r="G53" s="8" t="s">
        <v>253</v>
      </c>
      <c r="H53" s="6" t="s">
        <v>279</v>
      </c>
      <c r="I53" s="6" t="str">
        <f t="shared" si="5"/>
        <v>Threshold-based value-driven method to support consensus reaching in multicriteria group sorting problems: A minimum adjustment perspective</v>
      </c>
      <c r="J53" s="6"/>
      <c r="K53" s="6" t="s">
        <v>280</v>
      </c>
      <c r="L53" s="6" t="str">
        <f t="shared" si="6"/>
        <v>IEEE Transactions on Computational Social Systems</v>
      </c>
      <c r="M53" s="6" t="s">
        <v>281</v>
      </c>
      <c r="N53" s="8" t="s">
        <v>282</v>
      </c>
      <c r="O53" s="8" t="s">
        <v>211</v>
      </c>
      <c r="P53" s="8" t="s">
        <v>283</v>
      </c>
      <c r="Q53" s="6" t="s">
        <v>284</v>
      </c>
      <c r="R53" s="8" t="str" cm="1">
        <f t="array" ref="R53">_xlfn.LET(_xlpm.issn,TRIM(M53)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3" s="8" t="s">
        <v>39</v>
      </c>
      <c r="T53" s="8"/>
      <c r="U53" s="8" t="s">
        <v>39</v>
      </c>
      <c r="V53" s="8"/>
      <c r="W53" s="8"/>
      <c r="X53" s="8"/>
      <c r="Y53" s="8"/>
      <c r="Z53" s="6" t="s">
        <v>39</v>
      </c>
      <c r="AA53" s="6"/>
      <c r="AB53" s="6"/>
      <c r="AC53" s="6"/>
      <c r="AD53" s="6"/>
      <c r="AE53" s="6"/>
      <c r="AF53" s="6"/>
    </row>
    <row r="54" spans="1:32" ht="79.8" hidden="1" customHeight="1" x14ac:dyDescent="0.3">
      <c r="A54" s="15" t="s">
        <v>151</v>
      </c>
      <c r="B54" s="15" t="s">
        <v>33</v>
      </c>
      <c r="C54" s="15" t="s">
        <v>34</v>
      </c>
      <c r="D54" s="15" t="s">
        <v>34</v>
      </c>
      <c r="E54" s="15" t="s">
        <v>285</v>
      </c>
      <c r="F54" s="15" t="s">
        <v>285</v>
      </c>
      <c r="G54" s="16" t="s">
        <v>286</v>
      </c>
      <c r="H54" s="15" t="s">
        <v>287</v>
      </c>
      <c r="I54" s="6" t="str">
        <f t="shared" si="5"/>
        <v>Consensus reaching in multi-criteria social network group decision making: A stochastic multicriteria acceptability analysis-based method</v>
      </c>
      <c r="J54" s="15"/>
      <c r="K54" s="15" t="s">
        <v>83</v>
      </c>
      <c r="L54" s="6" t="str">
        <f t="shared" si="6"/>
        <v>Information Fusion</v>
      </c>
      <c r="M54" s="15" t="s">
        <v>84</v>
      </c>
      <c r="N54" s="16" t="s">
        <v>288</v>
      </c>
      <c r="O54" s="16" t="s">
        <v>153</v>
      </c>
      <c r="P54" s="16" t="s">
        <v>289</v>
      </c>
      <c r="Q54" s="15" t="s">
        <v>290</v>
      </c>
      <c r="R54" s="8" t="str" cm="1">
        <f t="array" ref="R54">_xlfn.LET(_xlpm.issn,TRIM(M54)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4" s="16" t="s">
        <v>39</v>
      </c>
      <c r="T54" s="16"/>
      <c r="U54" s="16" t="s">
        <v>39</v>
      </c>
      <c r="V54" s="16"/>
      <c r="W54" s="16"/>
      <c r="X54" s="16"/>
      <c r="Y54" s="16"/>
      <c r="Z54" s="15" t="s">
        <v>39</v>
      </c>
      <c r="AA54" s="15"/>
      <c r="AB54" s="15"/>
      <c r="AC54" s="15"/>
      <c r="AD54" s="15"/>
      <c r="AE54" s="15"/>
      <c r="AF54" s="15"/>
    </row>
    <row r="55" spans="1:32" ht="79.8" hidden="1" customHeight="1" x14ac:dyDescent="0.3">
      <c r="A55" s="6" t="s">
        <v>151</v>
      </c>
      <c r="B55" s="6" t="s">
        <v>33</v>
      </c>
      <c r="C55" s="6" t="s">
        <v>291</v>
      </c>
      <c r="D55" s="6" t="s">
        <v>291</v>
      </c>
      <c r="E55" s="6" t="s">
        <v>292</v>
      </c>
      <c r="F55" s="6" t="s">
        <v>292</v>
      </c>
      <c r="G55" s="8" t="s">
        <v>286</v>
      </c>
      <c r="H55" s="6" t="s">
        <v>293</v>
      </c>
      <c r="I55" s="6" t="str">
        <f t="shared" si="5"/>
        <v>A sentiment analysis driven method based on public and personal preferences with correlated attributes to select online doctors</v>
      </c>
      <c r="J55" s="6"/>
      <c r="K55" s="6" t="s">
        <v>246</v>
      </c>
      <c r="L55" s="6" t="str">
        <f t="shared" si="6"/>
        <v>Applied Intelligence</v>
      </c>
      <c r="M55" s="6" t="s">
        <v>247</v>
      </c>
      <c r="N55" s="8" t="s">
        <v>294</v>
      </c>
      <c r="O55" s="8" t="s">
        <v>295</v>
      </c>
      <c r="P55" s="8" t="s">
        <v>296</v>
      </c>
      <c r="Q55" s="6" t="s">
        <v>297</v>
      </c>
      <c r="R55" s="8" t="str" cm="1">
        <f t="array" ref="R55">_xlfn.LET(_xlpm.issn,TRIM(M55)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5" s="8" t="s">
        <v>39</v>
      </c>
      <c r="T55" s="8"/>
      <c r="U55" s="8" t="s">
        <v>39</v>
      </c>
      <c r="V55" s="8"/>
      <c r="W55" s="8"/>
      <c r="X55" s="8"/>
      <c r="Y55" s="8"/>
      <c r="Z55" s="6"/>
      <c r="AA55" s="6"/>
      <c r="AB55" s="6"/>
      <c r="AC55" s="6"/>
      <c r="AD55" s="6"/>
      <c r="AE55" s="6"/>
      <c r="AF55" s="6"/>
    </row>
    <row r="56" spans="1:32" ht="79.8" hidden="1" customHeight="1" x14ac:dyDescent="0.3">
      <c r="A56" s="15" t="s">
        <v>151</v>
      </c>
      <c r="B56" s="15" t="s">
        <v>33</v>
      </c>
      <c r="C56" s="15" t="s">
        <v>227</v>
      </c>
      <c r="D56" s="15" t="s">
        <v>227</v>
      </c>
      <c r="E56" s="15" t="s">
        <v>298</v>
      </c>
      <c r="F56" s="15" t="s">
        <v>298</v>
      </c>
      <c r="G56" s="16" t="s">
        <v>286</v>
      </c>
      <c r="H56" s="15" t="s">
        <v>299</v>
      </c>
      <c r="I56" s="6" t="str">
        <f t="shared" si="5"/>
        <v>Application of group decision making in shipping industry 4.0: Bibliometric analysis, trends, and future directions</v>
      </c>
      <c r="J56" s="15"/>
      <c r="K56" s="15" t="s">
        <v>300</v>
      </c>
      <c r="L56" s="6" t="str">
        <f t="shared" si="6"/>
        <v>Systems</v>
      </c>
      <c r="M56" s="15" t="s">
        <v>301</v>
      </c>
      <c r="N56" s="16" t="s">
        <v>282</v>
      </c>
      <c r="O56" s="16" t="s">
        <v>181</v>
      </c>
      <c r="P56" s="16" t="s">
        <v>302</v>
      </c>
      <c r="Q56" s="15" t="s">
        <v>303</v>
      </c>
      <c r="R56" s="8" t="str" cm="1">
        <f t="array" ref="R56">_xlfn.LET(_xlpm.issn,TRIM(M56)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6" s="16"/>
      <c r="T56" s="16" t="s">
        <v>39</v>
      </c>
      <c r="U56" s="16"/>
      <c r="V56" s="16"/>
      <c r="W56" s="16"/>
      <c r="X56" s="16"/>
      <c r="Y56" s="16"/>
      <c r="Z56" s="15" t="s">
        <v>39</v>
      </c>
      <c r="AA56" s="15" t="s">
        <v>39</v>
      </c>
      <c r="AB56" s="15"/>
      <c r="AC56" s="15"/>
      <c r="AD56" s="15"/>
      <c r="AE56" s="15"/>
      <c r="AF56" s="15"/>
    </row>
    <row r="57" spans="1:32" ht="79.8" hidden="1" customHeight="1" x14ac:dyDescent="0.3">
      <c r="A57" s="6" t="s">
        <v>151</v>
      </c>
      <c r="B57" s="6" t="s">
        <v>33</v>
      </c>
      <c r="C57" s="6" t="s">
        <v>34</v>
      </c>
      <c r="D57" s="6" t="s">
        <v>34</v>
      </c>
      <c r="E57" s="6" t="s">
        <v>304</v>
      </c>
      <c r="F57" s="6" t="s">
        <v>304</v>
      </c>
      <c r="G57" s="8" t="s">
        <v>286</v>
      </c>
      <c r="H57" s="6" t="s">
        <v>305</v>
      </c>
      <c r="I57" s="6" t="str">
        <f t="shared" si="5"/>
        <v>Consensus-based TOPSIS-Sort-B for multi-criteria sorting in the context of group decision-making</v>
      </c>
      <c r="J57" s="6"/>
      <c r="K57" s="6" t="s">
        <v>154</v>
      </c>
      <c r="L57" s="6" t="str">
        <f t="shared" si="6"/>
        <v>Annals of Operations Research</v>
      </c>
      <c r="M57" s="6" t="s">
        <v>155</v>
      </c>
      <c r="N57" s="8" t="s">
        <v>306</v>
      </c>
      <c r="O57" s="8" t="s">
        <v>181</v>
      </c>
      <c r="P57" s="8" t="s">
        <v>307</v>
      </c>
      <c r="Q57" s="6" t="s">
        <v>308</v>
      </c>
      <c r="R57" s="8" t="str" cm="1">
        <f t="array" ref="R57">_xlfn.LET(_xlpm.issn,TRIM(M57)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7" s="8" t="s">
        <v>39</v>
      </c>
      <c r="T57" s="8"/>
      <c r="U57" s="8"/>
      <c r="V57" s="8"/>
      <c r="W57" s="8"/>
      <c r="X57" s="8" t="s">
        <v>40</v>
      </c>
      <c r="Y57" s="8">
        <v>3</v>
      </c>
      <c r="Z57" s="6" t="s">
        <v>39</v>
      </c>
      <c r="AA57" s="6"/>
      <c r="AB57" s="6"/>
      <c r="AC57" s="6"/>
      <c r="AD57" s="6"/>
      <c r="AE57" s="6"/>
      <c r="AF57" s="6"/>
    </row>
    <row r="58" spans="1:32" ht="79.8" hidden="1" customHeight="1" x14ac:dyDescent="0.3">
      <c r="A58" s="15" t="s">
        <v>151</v>
      </c>
      <c r="B58" s="15" t="s">
        <v>33</v>
      </c>
      <c r="C58" s="15" t="s">
        <v>227</v>
      </c>
      <c r="D58" s="15" t="s">
        <v>227</v>
      </c>
      <c r="E58" s="15" t="s">
        <v>309</v>
      </c>
      <c r="F58" s="15" t="s">
        <v>309</v>
      </c>
      <c r="G58" s="16" t="s">
        <v>286</v>
      </c>
      <c r="H58" s="15" t="s">
        <v>310</v>
      </c>
      <c r="I58" s="6" t="str">
        <f t="shared" si="5"/>
        <v>Consensus-trust driven bidirectional feedback mechanism for improving consensus in social network large-group decision making</v>
      </c>
      <c r="J58" s="15"/>
      <c r="K58" s="15" t="s">
        <v>149</v>
      </c>
      <c r="L58" s="6" t="str">
        <f t="shared" si="6"/>
        <v>Group Decision and Negotiation</v>
      </c>
      <c r="M58" s="15" t="s">
        <v>150</v>
      </c>
      <c r="N58" s="16" t="s">
        <v>271</v>
      </c>
      <c r="O58" s="16" t="s">
        <v>211</v>
      </c>
      <c r="P58" s="16" t="s">
        <v>311</v>
      </c>
      <c r="Q58" s="15" t="s">
        <v>312</v>
      </c>
      <c r="R58" s="8" t="str" cm="1">
        <f t="array" ref="R58">_xlfn.LET(_xlpm.issn,TRIM(M58)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58" s="16"/>
      <c r="T58" s="16" t="s">
        <v>39</v>
      </c>
      <c r="U58" s="16"/>
      <c r="V58" s="16"/>
      <c r="W58" s="16"/>
      <c r="X58" s="16" t="s">
        <v>40</v>
      </c>
      <c r="Y58" s="16" t="s">
        <v>181</v>
      </c>
      <c r="Z58" s="15" t="s">
        <v>39</v>
      </c>
      <c r="AA58" s="15" t="s">
        <v>39</v>
      </c>
      <c r="AB58" s="15"/>
      <c r="AC58" s="15"/>
      <c r="AD58" s="15"/>
      <c r="AE58" s="15"/>
      <c r="AF58" s="15"/>
    </row>
    <row r="59" spans="1:32" ht="79.8" hidden="1" customHeight="1" x14ac:dyDescent="0.3">
      <c r="A59" s="6" t="s">
        <v>151</v>
      </c>
      <c r="B59" s="6" t="s">
        <v>116</v>
      </c>
      <c r="C59" s="6" t="s">
        <v>157</v>
      </c>
      <c r="D59" s="6" t="s">
        <v>34</v>
      </c>
      <c r="E59" s="6" t="s">
        <v>313</v>
      </c>
      <c r="F59" s="6" t="s">
        <v>304</v>
      </c>
      <c r="G59" s="8" t="s">
        <v>286</v>
      </c>
      <c r="H59" s="6" t="s">
        <v>314</v>
      </c>
      <c r="I59" s="6" t="s">
        <v>315</v>
      </c>
      <c r="J59" s="6"/>
      <c r="K59" s="6" t="s">
        <v>316</v>
      </c>
      <c r="L59" s="6" t="s">
        <v>317</v>
      </c>
      <c r="M59" s="6"/>
      <c r="N59" s="8" t="s">
        <v>318</v>
      </c>
      <c r="O59" s="8" t="s">
        <v>272</v>
      </c>
      <c r="P59" s="8" t="s">
        <v>319</v>
      </c>
      <c r="Q59" s="6" t="s">
        <v>320</v>
      </c>
      <c r="R59" s="6"/>
      <c r="S59" s="8"/>
      <c r="T59" s="8"/>
      <c r="U59" s="8"/>
      <c r="V59" s="8" t="s">
        <v>39</v>
      </c>
      <c r="W59" s="8"/>
      <c r="X59" s="8" t="s">
        <v>124</v>
      </c>
      <c r="Y59" s="8"/>
      <c r="Z59" s="6"/>
      <c r="AA59" s="6"/>
      <c r="AB59" s="6"/>
      <c r="AC59" s="6"/>
      <c r="AD59" s="6"/>
      <c r="AE59" s="6"/>
      <c r="AF59" s="6"/>
    </row>
    <row r="60" spans="1:32" ht="79.8" hidden="1" customHeight="1" x14ac:dyDescent="0.3">
      <c r="A60" s="15" t="s">
        <v>151</v>
      </c>
      <c r="B60" s="15" t="s">
        <v>33</v>
      </c>
      <c r="C60" s="15" t="s">
        <v>321</v>
      </c>
      <c r="D60" s="15" t="s">
        <v>321</v>
      </c>
      <c r="E60" s="15" t="s">
        <v>322</v>
      </c>
      <c r="F60" s="15" t="s">
        <v>322</v>
      </c>
      <c r="G60" s="16" t="s">
        <v>323</v>
      </c>
      <c r="H60" s="15" t="s">
        <v>324</v>
      </c>
      <c r="I60" s="6" t="str">
        <f t="shared" ref="I60:I68" si="7">IF(B60="英文",H60,"")</f>
        <v>A stock price forecasting model integrating complementary ensemble empirical mode decomposition and independent component analysis</v>
      </c>
      <c r="J60" s="15"/>
      <c r="K60" s="15" t="s">
        <v>325</v>
      </c>
      <c r="L60" s="6" t="str">
        <f t="shared" ref="L60:L68" si="8">IF(B60="英文",K60,"")</f>
        <v>International Journal of Computational Intelligence Systems</v>
      </c>
      <c r="M60" s="15" t="s">
        <v>326</v>
      </c>
      <c r="N60" s="16" t="s">
        <v>327</v>
      </c>
      <c r="O60" s="16" t="s">
        <v>211</v>
      </c>
      <c r="P60" s="16" t="s">
        <v>276</v>
      </c>
      <c r="Q60" s="15" t="s">
        <v>328</v>
      </c>
      <c r="R60" s="8" t="str" cm="1">
        <f t="array" ref="R60">_xlfn.LET(_xlpm.issn,TRIM(M60)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0" s="16" t="s">
        <v>39</v>
      </c>
      <c r="T60" s="16"/>
      <c r="U60" s="16" t="s">
        <v>39</v>
      </c>
      <c r="V60" s="16"/>
      <c r="W60" s="16"/>
      <c r="X60" s="16"/>
      <c r="Y60" s="16"/>
      <c r="Z60" s="15"/>
      <c r="AA60" s="15"/>
      <c r="AB60" s="15"/>
      <c r="AC60" s="15"/>
      <c r="AD60" s="15"/>
      <c r="AE60" s="15"/>
      <c r="AF60" s="15"/>
    </row>
    <row r="61" spans="1:32" ht="79.8" hidden="1" customHeight="1" x14ac:dyDescent="0.3">
      <c r="A61" s="6" t="s">
        <v>151</v>
      </c>
      <c r="B61" s="6" t="s">
        <v>33</v>
      </c>
      <c r="C61" s="6" t="s">
        <v>239</v>
      </c>
      <c r="D61" s="6" t="s">
        <v>239</v>
      </c>
      <c r="E61" s="6" t="s">
        <v>329</v>
      </c>
      <c r="F61" s="6" t="s">
        <v>329</v>
      </c>
      <c r="G61" s="8" t="s">
        <v>323</v>
      </c>
      <c r="H61" s="6" t="s">
        <v>330</v>
      </c>
      <c r="I61" s="6" t="str">
        <f t="shared" si="7"/>
        <v>Regional imbalances of market efficiency in China's pilot emission trading schemes (ETS): A multifractal perspective</v>
      </c>
      <c r="J61" s="6"/>
      <c r="K61" s="6" t="s">
        <v>331</v>
      </c>
      <c r="L61" s="6" t="str">
        <f t="shared" si="8"/>
        <v>Research in International Business and Finance</v>
      </c>
      <c r="M61" s="6" t="s">
        <v>332</v>
      </c>
      <c r="N61" s="8" t="s">
        <v>153</v>
      </c>
      <c r="O61" s="8" t="s">
        <v>153</v>
      </c>
      <c r="P61" s="8" t="s">
        <v>333</v>
      </c>
      <c r="Q61" s="6" t="s">
        <v>334</v>
      </c>
      <c r="R61" s="8" t="str" cm="1">
        <f t="array" ref="R61">_xlfn.LET(_xlpm.issn,TRIM(M61)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1" s="8"/>
      <c r="T61" s="8" t="s">
        <v>39</v>
      </c>
      <c r="U61" s="8"/>
      <c r="V61" s="8"/>
      <c r="W61" s="8"/>
      <c r="X61" s="8"/>
      <c r="Y61" s="8" t="s">
        <v>181</v>
      </c>
      <c r="Z61" s="6"/>
      <c r="AA61" s="6"/>
      <c r="AB61" s="6"/>
      <c r="AC61" s="6"/>
      <c r="AD61" s="6"/>
      <c r="AE61" s="6"/>
      <c r="AF61" s="6"/>
    </row>
    <row r="62" spans="1:32" ht="79.8" hidden="1" customHeight="1" x14ac:dyDescent="0.3">
      <c r="A62" s="15" t="s">
        <v>151</v>
      </c>
      <c r="B62" s="15" t="s">
        <v>33</v>
      </c>
      <c r="C62" s="15" t="s">
        <v>335</v>
      </c>
      <c r="D62" s="15" t="s">
        <v>335</v>
      </c>
      <c r="E62" s="15" t="s">
        <v>336</v>
      </c>
      <c r="F62" s="15" t="s">
        <v>336</v>
      </c>
      <c r="G62" s="16" t="s">
        <v>323</v>
      </c>
      <c r="H62" s="15" t="s">
        <v>337</v>
      </c>
      <c r="I62" s="6" t="str">
        <f t="shared" si="7"/>
        <v>Adaptive spectral affinity propagation clustering</v>
      </c>
      <c r="J62" s="15"/>
      <c r="K62" s="15" t="s">
        <v>338</v>
      </c>
      <c r="L62" s="6" t="str">
        <f t="shared" si="8"/>
        <v>Journal of Systems Engineering and Electronics</v>
      </c>
      <c r="M62" s="15" t="s">
        <v>339</v>
      </c>
      <c r="N62" s="16" t="s">
        <v>340</v>
      </c>
      <c r="O62" s="16" t="s">
        <v>50</v>
      </c>
      <c r="P62" s="16" t="s">
        <v>341</v>
      </c>
      <c r="Q62" s="15" t="s">
        <v>342</v>
      </c>
      <c r="R62" s="8" t="str" cm="1">
        <f t="array" ref="R62">_xlfn.LET(_xlpm.issn,TRIM(M62)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2" s="16" t="s">
        <v>39</v>
      </c>
      <c r="T62" s="16"/>
      <c r="U62" s="16" t="s">
        <v>39</v>
      </c>
      <c r="V62" s="16"/>
      <c r="W62" s="16"/>
      <c r="X62" s="16"/>
      <c r="Y62" s="16"/>
      <c r="Z62" s="15"/>
      <c r="AA62" s="15"/>
      <c r="AB62" s="15"/>
      <c r="AC62" s="15"/>
      <c r="AD62" s="15"/>
      <c r="AE62" s="15"/>
      <c r="AF62" s="15"/>
    </row>
    <row r="63" spans="1:32" ht="79.8" hidden="1" customHeight="1" x14ac:dyDescent="0.3">
      <c r="A63" s="6" t="s">
        <v>151</v>
      </c>
      <c r="B63" s="6" t="s">
        <v>33</v>
      </c>
      <c r="C63" s="6" t="s">
        <v>102</v>
      </c>
      <c r="D63" s="6" t="s">
        <v>102</v>
      </c>
      <c r="E63" s="6" t="s">
        <v>119</v>
      </c>
      <c r="F63" s="6" t="s">
        <v>119</v>
      </c>
      <c r="G63" s="8" t="s">
        <v>323</v>
      </c>
      <c r="H63" s="6" t="s">
        <v>343</v>
      </c>
      <c r="I63" s="6" t="str">
        <f t="shared" si="7"/>
        <v>Consensus reaching with consistency control in group decision making with incomplete hesitant fuzzy linguistic preference relations</v>
      </c>
      <c r="J63" s="6"/>
      <c r="K63" s="6" t="s">
        <v>100</v>
      </c>
      <c r="L63" s="6" t="str">
        <f t="shared" si="8"/>
        <v>Computers &amp; Industrial Engineering</v>
      </c>
      <c r="M63" s="6" t="s">
        <v>101</v>
      </c>
      <c r="N63" s="8" t="s">
        <v>344</v>
      </c>
      <c r="O63" s="8" t="s">
        <v>153</v>
      </c>
      <c r="P63" s="8" t="s">
        <v>345</v>
      </c>
      <c r="Q63" s="6" t="s">
        <v>346</v>
      </c>
      <c r="R63" s="8" t="str" cm="1">
        <f t="array" ref="R63">_xlfn.LET(_xlpm.issn,TRIM(M63)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3" s="8" t="s">
        <v>39</v>
      </c>
      <c r="T63" s="8"/>
      <c r="U63" s="8" t="s">
        <v>39</v>
      </c>
      <c r="V63" s="8"/>
      <c r="W63" s="8"/>
      <c r="X63" s="8" t="s">
        <v>40</v>
      </c>
      <c r="Y63" s="8" t="s">
        <v>181</v>
      </c>
      <c r="Z63" s="6" t="s">
        <v>39</v>
      </c>
      <c r="AA63" s="6"/>
      <c r="AB63" s="6"/>
      <c r="AC63" s="6"/>
      <c r="AD63" s="6"/>
      <c r="AE63" s="6"/>
      <c r="AF63" s="6"/>
    </row>
    <row r="64" spans="1:32" ht="79.8" hidden="1" customHeight="1" x14ac:dyDescent="0.3">
      <c r="A64" s="15" t="s">
        <v>151</v>
      </c>
      <c r="B64" s="15" t="s">
        <v>33</v>
      </c>
      <c r="C64" s="15" t="s">
        <v>34</v>
      </c>
      <c r="D64" s="15" t="s">
        <v>34</v>
      </c>
      <c r="E64" s="15" t="s">
        <v>347</v>
      </c>
      <c r="F64" s="15" t="s">
        <v>347</v>
      </c>
      <c r="G64" s="16" t="s">
        <v>323</v>
      </c>
      <c r="H64" s="15" t="s">
        <v>348</v>
      </c>
      <c r="I64" s="6" t="str">
        <f t="shared" si="7"/>
        <v>Classification-based strategic weight manipulation in multiple attribute decision making</v>
      </c>
      <c r="J64" s="15"/>
      <c r="K64" s="15" t="s">
        <v>96</v>
      </c>
      <c r="L64" s="6" t="str">
        <f t="shared" si="8"/>
        <v>Expert Systems with Applications</v>
      </c>
      <c r="M64" s="15" t="s">
        <v>97</v>
      </c>
      <c r="N64" s="16" t="s">
        <v>349</v>
      </c>
      <c r="O64" s="16" t="s">
        <v>153</v>
      </c>
      <c r="P64" s="16" t="s">
        <v>350</v>
      </c>
      <c r="Q64" s="15" t="s">
        <v>351</v>
      </c>
      <c r="R64" s="8" t="str" cm="1">
        <f t="array" ref="R64">_xlfn.LET(_xlpm.issn,TRIM(M64)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4" s="16" t="s">
        <v>39</v>
      </c>
      <c r="T64" s="16"/>
      <c r="U64" s="16" t="s">
        <v>39</v>
      </c>
      <c r="V64" s="16"/>
      <c r="W64" s="16"/>
      <c r="X64" s="16"/>
      <c r="Y64" s="16"/>
      <c r="Z64" s="15"/>
      <c r="AA64" s="15"/>
      <c r="AB64" s="15"/>
      <c r="AC64" s="15"/>
      <c r="AD64" s="15"/>
      <c r="AE64" s="15"/>
      <c r="AF64" s="15"/>
    </row>
    <row r="65" spans="1:32" ht="79.8" hidden="1" customHeight="1" x14ac:dyDescent="0.3">
      <c r="A65" s="6" t="s">
        <v>151</v>
      </c>
      <c r="B65" s="6" t="s">
        <v>33</v>
      </c>
      <c r="C65" s="6" t="s">
        <v>34</v>
      </c>
      <c r="D65" s="6" t="s">
        <v>34</v>
      </c>
      <c r="E65" s="6" t="s">
        <v>304</v>
      </c>
      <c r="F65" s="6" t="s">
        <v>304</v>
      </c>
      <c r="G65" s="8" t="s">
        <v>323</v>
      </c>
      <c r="H65" s="6" t="s">
        <v>352</v>
      </c>
      <c r="I65" s="6" t="str">
        <f t="shared" si="7"/>
        <v>Personalized individual semantics-based consistency control and consensus reaching in linguistic group decision making</v>
      </c>
      <c r="J65" s="6"/>
      <c r="K65" s="6" t="s">
        <v>67</v>
      </c>
      <c r="L65" s="6" t="str">
        <f t="shared" si="8"/>
        <v>IEEE Transactions on Systems, Man, and Cybernetics: Systems</v>
      </c>
      <c r="M65" s="6" t="s">
        <v>68</v>
      </c>
      <c r="N65" s="8" t="s">
        <v>353</v>
      </c>
      <c r="O65" s="8" t="s">
        <v>354</v>
      </c>
      <c r="P65" s="8" t="s">
        <v>355</v>
      </c>
      <c r="Q65" s="6" t="s">
        <v>356</v>
      </c>
      <c r="R65" s="8" t="str" cm="1">
        <f t="array" ref="R65">_xlfn.LET(_xlpm.issn,TRIM(M65)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5" s="8" t="s">
        <v>39</v>
      </c>
      <c r="T65" s="8"/>
      <c r="U65" s="8" t="s">
        <v>39</v>
      </c>
      <c r="V65" s="8"/>
      <c r="W65" s="8"/>
      <c r="X65" s="8" t="s">
        <v>40</v>
      </c>
      <c r="Y65" s="8">
        <v>3</v>
      </c>
      <c r="Z65" s="6" t="s">
        <v>39</v>
      </c>
      <c r="AA65" s="6" t="s">
        <v>39</v>
      </c>
      <c r="AB65" s="6"/>
      <c r="AC65" s="6"/>
      <c r="AD65" s="6"/>
      <c r="AE65" s="6"/>
      <c r="AF65" s="6"/>
    </row>
    <row r="66" spans="1:32" ht="79.8" hidden="1" customHeight="1" x14ac:dyDescent="0.3">
      <c r="A66" s="15" t="s">
        <v>151</v>
      </c>
      <c r="B66" s="15" t="s">
        <v>33</v>
      </c>
      <c r="C66" s="15" t="s">
        <v>34</v>
      </c>
      <c r="D66" s="15" t="s">
        <v>34</v>
      </c>
      <c r="E66" s="15" t="s">
        <v>357</v>
      </c>
      <c r="F66" s="15" t="s">
        <v>357</v>
      </c>
      <c r="G66" s="16" t="s">
        <v>323</v>
      </c>
      <c r="H66" s="15" t="s">
        <v>358</v>
      </c>
      <c r="I66" s="6" t="str">
        <f t="shared" si="7"/>
        <v>Consensus reaching with non-cooperative behavior management for personalized individual semantics-based social network group decision making</v>
      </c>
      <c r="J66" s="15"/>
      <c r="K66" s="15" t="s">
        <v>72</v>
      </c>
      <c r="L66" s="6" t="str">
        <f t="shared" si="8"/>
        <v>Journal of the Operational Research Society</v>
      </c>
      <c r="M66" s="15" t="s">
        <v>73</v>
      </c>
      <c r="N66" s="16" t="s">
        <v>359</v>
      </c>
      <c r="O66" s="16" t="s">
        <v>282</v>
      </c>
      <c r="P66" s="16" t="s">
        <v>360</v>
      </c>
      <c r="Q66" s="15" t="s">
        <v>361</v>
      </c>
      <c r="R66" s="8" t="str" cm="1">
        <f t="array" ref="R66">_xlfn.LET(_xlpm.issn,TRIM(M66)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6" s="16" t="s">
        <v>39</v>
      </c>
      <c r="T66" s="16" t="s">
        <v>39</v>
      </c>
      <c r="U66" s="16" t="s">
        <v>39</v>
      </c>
      <c r="V66" s="16"/>
      <c r="W66" s="16"/>
      <c r="X66" s="16" t="s">
        <v>40</v>
      </c>
      <c r="Y66" s="16">
        <v>3</v>
      </c>
      <c r="Z66" s="15" t="s">
        <v>39</v>
      </c>
      <c r="AA66" s="15" t="s">
        <v>39</v>
      </c>
      <c r="AB66" s="15"/>
      <c r="AC66" s="15"/>
      <c r="AD66" s="15"/>
      <c r="AE66" s="15"/>
      <c r="AF66" s="15"/>
    </row>
    <row r="67" spans="1:32" ht="79.8" hidden="1" customHeight="1" x14ac:dyDescent="0.3">
      <c r="A67" s="6" t="s">
        <v>151</v>
      </c>
      <c r="B67" s="6" t="s">
        <v>33</v>
      </c>
      <c r="C67" s="6" t="s">
        <v>362</v>
      </c>
      <c r="D67" s="6" t="s">
        <v>362</v>
      </c>
      <c r="E67" s="6" t="s">
        <v>363</v>
      </c>
      <c r="F67" s="6" t="s">
        <v>363</v>
      </c>
      <c r="G67" s="8" t="s">
        <v>323</v>
      </c>
      <c r="H67" s="6" t="s">
        <v>364</v>
      </c>
      <c r="I67" s="6" t="str">
        <f t="shared" si="7"/>
        <v>An adaptive group decision making framework: Individual and local world opinion based opinion dynamics</v>
      </c>
      <c r="J67" s="6"/>
      <c r="K67" s="6" t="s">
        <v>83</v>
      </c>
      <c r="L67" s="6" t="str">
        <f t="shared" si="8"/>
        <v>Information Fusion</v>
      </c>
      <c r="M67" s="6" t="s">
        <v>84</v>
      </c>
      <c r="N67" s="8" t="s">
        <v>365</v>
      </c>
      <c r="O67" s="8" t="s">
        <v>153</v>
      </c>
      <c r="P67" s="8" t="s">
        <v>366</v>
      </c>
      <c r="Q67" s="6" t="s">
        <v>367</v>
      </c>
      <c r="R67" s="8" t="str" cm="1">
        <f t="array" ref="R67">_xlfn.LET(_xlpm.issn,TRIM(M67)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7" s="8" t="s">
        <v>39</v>
      </c>
      <c r="T67" s="8" t="s">
        <v>39</v>
      </c>
      <c r="U67" s="8" t="s">
        <v>39</v>
      </c>
      <c r="V67" s="8"/>
      <c r="W67" s="8"/>
      <c r="X67" s="8"/>
      <c r="Y67" s="8"/>
      <c r="Z67" s="6"/>
      <c r="AA67" s="6"/>
      <c r="AB67" s="6"/>
      <c r="AC67" s="6"/>
      <c r="AD67" s="6"/>
      <c r="AE67" s="6"/>
      <c r="AF67" s="6"/>
    </row>
    <row r="68" spans="1:32" ht="79.8" hidden="1" customHeight="1" x14ac:dyDescent="0.3">
      <c r="A68" s="15" t="s">
        <v>151</v>
      </c>
      <c r="B68" s="15" t="s">
        <v>33</v>
      </c>
      <c r="C68" s="15" t="s">
        <v>34</v>
      </c>
      <c r="D68" s="15" t="s">
        <v>34</v>
      </c>
      <c r="E68" s="15" t="s">
        <v>368</v>
      </c>
      <c r="F68" s="15" t="s">
        <v>368</v>
      </c>
      <c r="G68" s="16" t="s">
        <v>369</v>
      </c>
      <c r="H68" s="15" t="s">
        <v>370</v>
      </c>
      <c r="I68" s="6" t="str">
        <f t="shared" si="7"/>
        <v>Consensus reaching for group decision making with multi-granular unbalanced linguistic information: A bounded confidence and minimum adjustment-based approach</v>
      </c>
      <c r="J68" s="15"/>
      <c r="K68" s="15" t="s">
        <v>83</v>
      </c>
      <c r="L68" s="6" t="str">
        <f t="shared" si="8"/>
        <v>Information Fusion</v>
      </c>
      <c r="M68" s="15" t="s">
        <v>84</v>
      </c>
      <c r="N68" s="16" t="s">
        <v>371</v>
      </c>
      <c r="O68" s="16" t="s">
        <v>153</v>
      </c>
      <c r="P68" s="16" t="s">
        <v>372</v>
      </c>
      <c r="Q68" s="15" t="s">
        <v>373</v>
      </c>
      <c r="R68" s="8" t="str" cm="1">
        <f t="array" ref="R68">_xlfn.LET(_xlpm.issn,TRIM(M68)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68" s="16" t="s">
        <v>39</v>
      </c>
      <c r="T68" s="16"/>
      <c r="U68" s="16" t="s">
        <v>39</v>
      </c>
      <c r="V68" s="16"/>
      <c r="W68" s="16"/>
      <c r="X68" s="16"/>
      <c r="Y68" s="16"/>
      <c r="Z68" s="15" t="s">
        <v>39</v>
      </c>
      <c r="AA68" s="15"/>
      <c r="AB68" s="15"/>
      <c r="AC68" s="15"/>
      <c r="AD68" s="15"/>
      <c r="AE68" s="15"/>
      <c r="AF68" s="15"/>
    </row>
    <row r="69" spans="1:32" ht="79.8" hidden="1" customHeight="1" x14ac:dyDescent="0.3">
      <c r="A69" s="6" t="s">
        <v>151</v>
      </c>
      <c r="B69" s="6" t="s">
        <v>116</v>
      </c>
      <c r="C69" s="6" t="s">
        <v>374</v>
      </c>
      <c r="D69" s="6" t="s">
        <v>375</v>
      </c>
      <c r="E69" s="6" t="s">
        <v>376</v>
      </c>
      <c r="F69" s="6" t="s">
        <v>377</v>
      </c>
      <c r="G69" s="8" t="s">
        <v>369</v>
      </c>
      <c r="H69" s="6" t="s">
        <v>378</v>
      </c>
      <c r="I69" s="6" t="s">
        <v>379</v>
      </c>
      <c r="J69" s="6"/>
      <c r="K69" s="6" t="s">
        <v>380</v>
      </c>
      <c r="L69" s="6" t="s">
        <v>381</v>
      </c>
      <c r="M69" s="6"/>
      <c r="N69" s="8" t="s">
        <v>382</v>
      </c>
      <c r="O69" s="8" t="s">
        <v>181</v>
      </c>
      <c r="P69" s="8" t="s">
        <v>383</v>
      </c>
      <c r="Q69" s="6" t="s">
        <v>384</v>
      </c>
      <c r="R69" s="6"/>
      <c r="S69" s="8"/>
      <c r="T69" s="8"/>
      <c r="U69" s="8"/>
      <c r="V69" s="8"/>
      <c r="W69" s="8"/>
      <c r="X69" s="8"/>
      <c r="Y69" s="8"/>
      <c r="Z69" s="6"/>
      <c r="AA69" s="6"/>
      <c r="AB69" s="6"/>
      <c r="AC69" s="6"/>
      <c r="AD69" s="6"/>
      <c r="AE69" s="6"/>
      <c r="AF69" s="6"/>
    </row>
    <row r="70" spans="1:32" ht="79.8" hidden="1" customHeight="1" x14ac:dyDescent="0.3">
      <c r="A70" s="15" t="s">
        <v>151</v>
      </c>
      <c r="B70" s="15" t="s">
        <v>33</v>
      </c>
      <c r="C70" s="15" t="s">
        <v>335</v>
      </c>
      <c r="D70" s="15" t="s">
        <v>335</v>
      </c>
      <c r="E70" s="15" t="s">
        <v>385</v>
      </c>
      <c r="F70" s="15" t="s">
        <v>385</v>
      </c>
      <c r="G70" s="16" t="s">
        <v>369</v>
      </c>
      <c r="H70" s="15" t="s">
        <v>386</v>
      </c>
      <c r="I70" s="6" t="str">
        <f t="shared" ref="I70:I84" si="9">IF(B70="英文",H70,"")</f>
        <v>A simulation research towards better leverage of sales ranking</v>
      </c>
      <c r="J70" s="15"/>
      <c r="K70" s="15" t="s">
        <v>387</v>
      </c>
      <c r="L70" s="6" t="str">
        <f t="shared" ref="L70:L84" si="10">IF(B70="英文",K70,"")</f>
        <v>Journal of Systems Science and Systems Engineering</v>
      </c>
      <c r="M70" s="15" t="s">
        <v>388</v>
      </c>
      <c r="N70" s="16" t="s">
        <v>389</v>
      </c>
      <c r="O70" s="16" t="s">
        <v>211</v>
      </c>
      <c r="P70" s="16" t="s">
        <v>390</v>
      </c>
      <c r="Q70" s="15" t="s">
        <v>391</v>
      </c>
      <c r="R70" s="8" t="str" cm="1">
        <f t="array" ref="R70">_xlfn.LET(_xlpm.issn,TRIM(M70)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0" s="16" t="s">
        <v>39</v>
      </c>
      <c r="T70" s="16"/>
      <c r="U70" s="16" t="s">
        <v>39</v>
      </c>
      <c r="V70" s="16"/>
      <c r="W70" s="16"/>
      <c r="X70" s="16"/>
      <c r="Y70" s="16"/>
      <c r="Z70" s="15"/>
      <c r="AA70" s="15"/>
      <c r="AB70" s="15"/>
      <c r="AC70" s="15"/>
      <c r="AD70" s="15"/>
      <c r="AE70" s="15"/>
      <c r="AF70" s="15"/>
    </row>
    <row r="71" spans="1:32" ht="79.8" hidden="1" customHeight="1" x14ac:dyDescent="0.3">
      <c r="A71" s="6" t="s">
        <v>151</v>
      </c>
      <c r="B71" s="6" t="s">
        <v>33</v>
      </c>
      <c r="C71" s="6" t="s">
        <v>34</v>
      </c>
      <c r="D71" s="6" t="s">
        <v>34</v>
      </c>
      <c r="E71" s="6" t="s">
        <v>392</v>
      </c>
      <c r="F71" s="6" t="s">
        <v>392</v>
      </c>
      <c r="G71" s="8" t="s">
        <v>393</v>
      </c>
      <c r="H71" s="6" t="s">
        <v>394</v>
      </c>
      <c r="I71" s="6" t="str">
        <f t="shared" si="9"/>
        <v>Volatility similarity and spillover effects in G20 stock market comovements: An ICA-based ARMA-APARCH-M approach</v>
      </c>
      <c r="J71" s="6"/>
      <c r="K71" s="6" t="s">
        <v>395</v>
      </c>
      <c r="L71" s="6" t="str">
        <f t="shared" si="10"/>
        <v>Complexity</v>
      </c>
      <c r="M71" s="6" t="s">
        <v>396</v>
      </c>
      <c r="N71" s="8" t="s">
        <v>393</v>
      </c>
      <c r="O71" s="8" t="s">
        <v>153</v>
      </c>
      <c r="P71" s="8" t="s">
        <v>397</v>
      </c>
      <c r="Q71" s="6" t="s">
        <v>398</v>
      </c>
      <c r="R71" s="8" t="str" cm="1">
        <f t="array" ref="R71">_xlfn.LET(_xlpm.issn,TRIM(M71)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1" s="8" t="s">
        <v>39</v>
      </c>
      <c r="T71" s="8" t="s">
        <v>39</v>
      </c>
      <c r="U71" s="8" t="s">
        <v>39</v>
      </c>
      <c r="V71" s="8"/>
      <c r="W71" s="8"/>
      <c r="X71" s="8"/>
      <c r="Y71" s="8"/>
      <c r="Z71" s="6"/>
      <c r="AA71" s="6"/>
      <c r="AB71" s="6"/>
      <c r="AC71" s="6"/>
      <c r="AD71" s="6"/>
      <c r="AE71" s="6"/>
      <c r="AF71" s="6"/>
    </row>
    <row r="72" spans="1:32" ht="79.8" hidden="1" customHeight="1" x14ac:dyDescent="0.3">
      <c r="A72" s="15" t="s">
        <v>151</v>
      </c>
      <c r="B72" s="15" t="s">
        <v>33</v>
      </c>
      <c r="C72" s="15" t="s">
        <v>102</v>
      </c>
      <c r="D72" s="15" t="s">
        <v>102</v>
      </c>
      <c r="E72" s="15" t="s">
        <v>399</v>
      </c>
      <c r="F72" s="15" t="s">
        <v>399</v>
      </c>
      <c r="G72" s="16" t="s">
        <v>369</v>
      </c>
      <c r="H72" s="15" t="s">
        <v>400</v>
      </c>
      <c r="I72" s="6" t="str">
        <f t="shared" si="9"/>
        <v>Two-sided matching decision making with multi-granular hesitant fuzzy linguistic term sets and incomplete criteria weight information</v>
      </c>
      <c r="J72" s="15"/>
      <c r="K72" s="15" t="s">
        <v>96</v>
      </c>
      <c r="L72" s="6" t="str">
        <f t="shared" si="10"/>
        <v>Expert Systems with Applications</v>
      </c>
      <c r="M72" s="15" t="s">
        <v>97</v>
      </c>
      <c r="N72" s="16" t="s">
        <v>401</v>
      </c>
      <c r="O72" s="16" t="s">
        <v>153</v>
      </c>
      <c r="P72" s="16" t="s">
        <v>402</v>
      </c>
      <c r="Q72" s="15" t="s">
        <v>403</v>
      </c>
      <c r="R72" s="8" t="str" cm="1">
        <f t="array" ref="R72">_xlfn.LET(_xlpm.issn,TRIM(M72)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2" s="16" t="s">
        <v>39</v>
      </c>
      <c r="T72" s="16" t="s">
        <v>39</v>
      </c>
      <c r="U72" s="16" t="s">
        <v>39</v>
      </c>
      <c r="V72" s="16"/>
      <c r="W72" s="16"/>
      <c r="X72" s="16"/>
      <c r="Y72" s="16"/>
      <c r="Z72" s="15" t="s">
        <v>39</v>
      </c>
      <c r="AA72" s="15"/>
      <c r="AB72" s="15"/>
      <c r="AC72" s="15"/>
      <c r="AD72" s="15"/>
      <c r="AE72" s="15"/>
      <c r="AF72" s="15"/>
    </row>
    <row r="73" spans="1:32" ht="79.8" hidden="1" customHeight="1" x14ac:dyDescent="0.3">
      <c r="A73" s="6" t="s">
        <v>151</v>
      </c>
      <c r="B73" s="6" t="s">
        <v>33</v>
      </c>
      <c r="C73" s="6" t="s">
        <v>404</v>
      </c>
      <c r="D73" s="6" t="s">
        <v>404</v>
      </c>
      <c r="E73" s="6" t="s">
        <v>405</v>
      </c>
      <c r="F73" s="6" t="s">
        <v>405</v>
      </c>
      <c r="G73" s="8" t="s">
        <v>369</v>
      </c>
      <c r="H73" s="6" t="s">
        <v>406</v>
      </c>
      <c r="I73" s="6" t="str">
        <f t="shared" si="9"/>
        <v>Distributed linguistic representations in decision making: Taxonomy, key elements and applications, and challenges in data science and explainable artificial intelligence</v>
      </c>
      <c r="J73" s="6"/>
      <c r="K73" s="6" t="s">
        <v>83</v>
      </c>
      <c r="L73" s="6" t="str">
        <f t="shared" si="10"/>
        <v>Information Fusion</v>
      </c>
      <c r="M73" s="6" t="s">
        <v>84</v>
      </c>
      <c r="N73" s="8" t="s">
        <v>407</v>
      </c>
      <c r="O73" s="8" t="s">
        <v>153</v>
      </c>
      <c r="P73" s="8" t="s">
        <v>408</v>
      </c>
      <c r="Q73" s="6" t="s">
        <v>409</v>
      </c>
      <c r="R73" s="8" t="str" cm="1">
        <f t="array" ref="R73">_xlfn.LET(_xlpm.issn,TRIM(M73)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3" s="8" t="s">
        <v>39</v>
      </c>
      <c r="T73" s="8" t="s">
        <v>39</v>
      </c>
      <c r="U73" s="8" t="s">
        <v>39</v>
      </c>
      <c r="V73" s="8"/>
      <c r="W73" s="8"/>
      <c r="X73" s="8"/>
      <c r="Y73" s="8"/>
      <c r="Z73" s="6" t="s">
        <v>39</v>
      </c>
      <c r="AA73" s="6"/>
      <c r="AB73" s="6"/>
      <c r="AC73" s="6"/>
      <c r="AD73" s="6"/>
      <c r="AE73" s="6"/>
      <c r="AF73" s="6"/>
    </row>
    <row r="74" spans="1:32" ht="79.8" hidden="1" customHeight="1" x14ac:dyDescent="0.3">
      <c r="A74" s="15" t="s">
        <v>151</v>
      </c>
      <c r="B74" s="15" t="s">
        <v>33</v>
      </c>
      <c r="C74" s="15" t="s">
        <v>102</v>
      </c>
      <c r="D74" s="15" t="s">
        <v>102</v>
      </c>
      <c r="E74" s="15" t="s">
        <v>410</v>
      </c>
      <c r="F74" s="15" t="s">
        <v>410</v>
      </c>
      <c r="G74" s="16" t="s">
        <v>369</v>
      </c>
      <c r="H74" s="15" t="s">
        <v>411</v>
      </c>
      <c r="I74" s="6" t="str">
        <f t="shared" si="9"/>
        <v>Consistency improvement for fuzzy preference relations with self-confidence: An application in two-sided matching decision making</v>
      </c>
      <c r="J74" s="15"/>
      <c r="K74" s="15" t="s">
        <v>72</v>
      </c>
      <c r="L74" s="6" t="str">
        <f t="shared" si="10"/>
        <v>Journal of the Operational Research Society</v>
      </c>
      <c r="M74" s="15" t="s">
        <v>73</v>
      </c>
      <c r="N74" s="16" t="s">
        <v>412</v>
      </c>
      <c r="O74" s="16" t="s">
        <v>413</v>
      </c>
      <c r="P74" s="16" t="s">
        <v>414</v>
      </c>
      <c r="Q74" s="15" t="s">
        <v>415</v>
      </c>
      <c r="R74" s="8" t="str" cm="1">
        <f t="array" ref="R74">_xlfn.LET(_xlpm.issn,TRIM(M74)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4" s="16" t="s">
        <v>39</v>
      </c>
      <c r="T74" s="16" t="s">
        <v>39</v>
      </c>
      <c r="U74" s="16" t="s">
        <v>39</v>
      </c>
      <c r="V74" s="16"/>
      <c r="W74" s="16"/>
      <c r="X74" s="16" t="s">
        <v>40</v>
      </c>
      <c r="Y74" s="16">
        <v>3</v>
      </c>
      <c r="Z74" s="15" t="s">
        <v>39</v>
      </c>
      <c r="AA74" s="15"/>
      <c r="AB74" s="15"/>
      <c r="AC74" s="15"/>
      <c r="AD74" s="15"/>
      <c r="AE74" s="15"/>
      <c r="AF74" s="15"/>
    </row>
    <row r="75" spans="1:32" ht="79.8" hidden="1" customHeight="1" x14ac:dyDescent="0.3">
      <c r="A75" s="6" t="s">
        <v>151</v>
      </c>
      <c r="B75" s="6" t="s">
        <v>33</v>
      </c>
      <c r="C75" s="6" t="s">
        <v>34</v>
      </c>
      <c r="D75" s="6" t="s">
        <v>34</v>
      </c>
      <c r="E75" s="6" t="s">
        <v>416</v>
      </c>
      <c r="F75" s="6" t="s">
        <v>416</v>
      </c>
      <c r="G75" s="8" t="s">
        <v>369</v>
      </c>
      <c r="H75" s="6" t="s">
        <v>417</v>
      </c>
      <c r="I75" s="6" t="str">
        <f t="shared" si="9"/>
        <v>Consensus reaching for MAGDM with multi-granular hesitant fuzzy linguistic term sets: a minimum adjustment-based approach</v>
      </c>
      <c r="J75" s="6"/>
      <c r="K75" s="6" t="s">
        <v>154</v>
      </c>
      <c r="L75" s="6" t="str">
        <f t="shared" si="10"/>
        <v>Annals of Operations Research</v>
      </c>
      <c r="M75" s="6" t="s">
        <v>155</v>
      </c>
      <c r="N75" s="8" t="s">
        <v>418</v>
      </c>
      <c r="O75" s="8" t="s">
        <v>181</v>
      </c>
      <c r="P75" s="8" t="s">
        <v>419</v>
      </c>
      <c r="Q75" s="6" t="s">
        <v>420</v>
      </c>
      <c r="R75" s="8" t="str" cm="1">
        <f t="array" ref="R75">_xlfn.LET(_xlpm.issn,TRIM(M75)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5" s="8" t="s">
        <v>39</v>
      </c>
      <c r="T75" s="8"/>
      <c r="U75" s="8"/>
      <c r="V75" s="8"/>
      <c r="W75" s="8"/>
      <c r="X75" s="8" t="s">
        <v>40</v>
      </c>
      <c r="Y75" s="8">
        <v>3</v>
      </c>
      <c r="Z75" s="6" t="s">
        <v>39</v>
      </c>
      <c r="AA75" s="6"/>
      <c r="AB75" s="6"/>
      <c r="AC75" s="6"/>
      <c r="AD75" s="6"/>
      <c r="AE75" s="6"/>
      <c r="AF75" s="6"/>
    </row>
    <row r="76" spans="1:32" ht="79.8" customHeight="1" x14ac:dyDescent="0.3">
      <c r="A76" s="15" t="s">
        <v>421</v>
      </c>
      <c r="B76" s="15" t="s">
        <v>33</v>
      </c>
      <c r="C76" s="15" t="s">
        <v>102</v>
      </c>
      <c r="D76" s="15" t="s">
        <v>102</v>
      </c>
      <c r="E76" s="15" t="s">
        <v>203</v>
      </c>
      <c r="F76" s="15" t="s">
        <v>203</v>
      </c>
      <c r="G76" s="16" t="s">
        <v>393</v>
      </c>
      <c r="H76" s="15" t="s">
        <v>422</v>
      </c>
      <c r="I76" s="6" t="str">
        <f t="shared" si="9"/>
        <v>Some models to improve the worst consistency level of hesitant fuzzy preference relations</v>
      </c>
      <c r="J76" s="15"/>
      <c r="K76" s="15" t="s">
        <v>423</v>
      </c>
      <c r="L76" s="6" t="str">
        <f t="shared" si="10"/>
        <v>the 14th International FLINS Conference on Robotics and Artificial Intelligence (FLINS 2020)</v>
      </c>
      <c r="M76" s="15"/>
      <c r="N76" s="16"/>
      <c r="O76" s="16" t="s">
        <v>153</v>
      </c>
      <c r="P76" s="16" t="s">
        <v>424</v>
      </c>
      <c r="Q76" s="15" t="s">
        <v>425</v>
      </c>
      <c r="R76" s="6" t="str" cm="1">
        <f t="array" ref="R76">_xlfn.LET(_xlpm.issn,TRIM(M76)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6" s="16"/>
      <c r="T76" s="16"/>
      <c r="U76" s="16"/>
      <c r="V76" s="16"/>
      <c r="W76" s="16" t="s">
        <v>39</v>
      </c>
      <c r="X76" s="16"/>
      <c r="Y76" s="16"/>
      <c r="Z76" s="15"/>
      <c r="AA76" s="15"/>
      <c r="AB76" s="15"/>
      <c r="AC76" s="15"/>
      <c r="AD76" s="15"/>
      <c r="AE76" s="15" t="s">
        <v>426</v>
      </c>
      <c r="AF76" s="15" t="s">
        <v>427</v>
      </c>
    </row>
    <row r="77" spans="1:32" ht="79.8" hidden="1" customHeight="1" x14ac:dyDescent="0.3">
      <c r="A77" s="6" t="s">
        <v>151</v>
      </c>
      <c r="B77" s="6" t="s">
        <v>33</v>
      </c>
      <c r="C77" s="6" t="s">
        <v>34</v>
      </c>
      <c r="D77" s="6" t="s">
        <v>34</v>
      </c>
      <c r="E77" s="6" t="s">
        <v>428</v>
      </c>
      <c r="F77" s="6" t="s">
        <v>428</v>
      </c>
      <c r="G77" s="8" t="s">
        <v>393</v>
      </c>
      <c r="H77" s="6" t="s">
        <v>429</v>
      </c>
      <c r="I77" s="6" t="str">
        <f t="shared" si="9"/>
        <v>Consensus reaching for social network group decision making by considering leadership and bounded confidence</v>
      </c>
      <c r="J77" s="6"/>
      <c r="K77" s="6" t="s">
        <v>430</v>
      </c>
      <c r="L77" s="6" t="str">
        <f t="shared" si="10"/>
        <v>Knowledge-Based Systems</v>
      </c>
      <c r="M77" s="6" t="s">
        <v>431</v>
      </c>
      <c r="N77" s="8" t="s">
        <v>432</v>
      </c>
      <c r="O77" s="8" t="s">
        <v>153</v>
      </c>
      <c r="P77" s="8" t="s">
        <v>433</v>
      </c>
      <c r="Q77" s="6" t="s">
        <v>434</v>
      </c>
      <c r="R77" s="8" t="str" cm="1">
        <f t="array" ref="R77">_xlfn.LET(_xlpm.issn,TRIM(M77)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7" s="8" t="s">
        <v>39</v>
      </c>
      <c r="T77" s="8"/>
      <c r="U77" s="8" t="s">
        <v>39</v>
      </c>
      <c r="V77" s="8"/>
      <c r="W77" s="8"/>
      <c r="X77" s="8"/>
      <c r="Y77" s="8"/>
      <c r="Z77" s="6" t="s">
        <v>39</v>
      </c>
      <c r="AA77" s="6"/>
      <c r="AB77" s="6"/>
      <c r="AC77" s="6"/>
      <c r="AD77" s="6"/>
      <c r="AE77" s="6"/>
      <c r="AF77" s="6"/>
    </row>
    <row r="78" spans="1:32" ht="79.8" hidden="1" customHeight="1" x14ac:dyDescent="0.3">
      <c r="A78" s="15" t="s">
        <v>151</v>
      </c>
      <c r="B78" s="15" t="s">
        <v>33</v>
      </c>
      <c r="C78" s="15" t="s">
        <v>102</v>
      </c>
      <c r="D78" s="15" t="s">
        <v>102</v>
      </c>
      <c r="E78" s="15" t="s">
        <v>435</v>
      </c>
      <c r="F78" s="15" t="s">
        <v>435</v>
      </c>
      <c r="G78" s="16" t="s">
        <v>393</v>
      </c>
      <c r="H78" s="15" t="s">
        <v>436</v>
      </c>
      <c r="I78" s="6" t="str">
        <f t="shared" si="9"/>
        <v>Managing multigranular unbalanced hesitant fuzzy linguistic information in multiattribute large-scale group decision making: A linguistic distribution-based approach</v>
      </c>
      <c r="J78" s="15"/>
      <c r="K78" s="15" t="s">
        <v>269</v>
      </c>
      <c r="L78" s="6" t="str">
        <f t="shared" si="10"/>
        <v>IEEE Transactions on Fuzzy Systems</v>
      </c>
      <c r="M78" s="15" t="s">
        <v>270</v>
      </c>
      <c r="N78" s="16" t="s">
        <v>437</v>
      </c>
      <c r="O78" s="16" t="s">
        <v>282</v>
      </c>
      <c r="P78" s="16" t="s">
        <v>438</v>
      </c>
      <c r="Q78" s="15" t="s">
        <v>439</v>
      </c>
      <c r="R78" s="8" t="str" cm="1">
        <f t="array" ref="R78">_xlfn.LET(_xlpm.issn,TRIM(M78)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8" s="16" t="s">
        <v>39</v>
      </c>
      <c r="T78" s="16"/>
      <c r="U78" s="16" t="s">
        <v>39</v>
      </c>
      <c r="V78" s="16"/>
      <c r="W78" s="16"/>
      <c r="X78" s="16"/>
      <c r="Y78" s="16"/>
      <c r="Z78" s="15" t="s">
        <v>39</v>
      </c>
      <c r="AA78" s="15" t="s">
        <v>39</v>
      </c>
      <c r="AB78" s="15"/>
      <c r="AC78" s="15"/>
      <c r="AD78" s="15"/>
      <c r="AE78" s="15"/>
      <c r="AF78" s="15"/>
    </row>
    <row r="79" spans="1:32" ht="79.8" customHeight="1" x14ac:dyDescent="0.3">
      <c r="A79" s="6" t="s">
        <v>421</v>
      </c>
      <c r="B79" s="6" t="s">
        <v>33</v>
      </c>
      <c r="C79" s="6" t="s">
        <v>34</v>
      </c>
      <c r="D79" s="6" t="s">
        <v>34</v>
      </c>
      <c r="E79" s="6" t="s">
        <v>440</v>
      </c>
      <c r="F79" s="6" t="s">
        <v>440</v>
      </c>
      <c r="G79" s="8" t="s">
        <v>441</v>
      </c>
      <c r="H79" s="6" t="s">
        <v>442</v>
      </c>
      <c r="I79" s="6" t="str">
        <f t="shared" si="9"/>
        <v>Grey group QUALIFLEX method: Application in project management</v>
      </c>
      <c r="J79" s="6"/>
      <c r="K79" s="6" t="s">
        <v>443</v>
      </c>
      <c r="L79" s="6" t="str">
        <f t="shared" si="10"/>
        <v>the 14th International Conference on Intelligent Systems and Knowledge Engineering (ISKE)</v>
      </c>
      <c r="M79" s="6"/>
      <c r="N79" s="8" t="s">
        <v>153</v>
      </c>
      <c r="O79" s="8" t="s">
        <v>153</v>
      </c>
      <c r="P79" s="8" t="s">
        <v>444</v>
      </c>
      <c r="Q79" s="6" t="s">
        <v>445</v>
      </c>
      <c r="R79" s="6" t="str" cm="1">
        <f t="array" ref="R79">_xlfn.LET(_xlpm.issn,TRIM(M79)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79" s="8"/>
      <c r="T79" s="8"/>
      <c r="U79" s="8" t="s">
        <v>39</v>
      </c>
      <c r="V79" s="8"/>
      <c r="W79" s="8" t="s">
        <v>39</v>
      </c>
      <c r="X79" s="8"/>
      <c r="Y79" s="8"/>
      <c r="Z79" s="6"/>
      <c r="AA79" s="6"/>
      <c r="AB79" s="6"/>
      <c r="AC79" s="6"/>
      <c r="AD79" s="6"/>
      <c r="AE79" s="6" t="s">
        <v>446</v>
      </c>
      <c r="AF79" s="6" t="s">
        <v>447</v>
      </c>
    </row>
    <row r="80" spans="1:32" ht="79.8" customHeight="1" x14ac:dyDescent="0.3">
      <c r="A80" s="15" t="s">
        <v>421</v>
      </c>
      <c r="B80" s="15" t="s">
        <v>33</v>
      </c>
      <c r="C80" s="15" t="s">
        <v>102</v>
      </c>
      <c r="D80" s="15" t="s">
        <v>102</v>
      </c>
      <c r="E80" s="15" t="s">
        <v>448</v>
      </c>
      <c r="F80" s="15" t="s">
        <v>448</v>
      </c>
      <c r="G80" s="16" t="s">
        <v>441</v>
      </c>
      <c r="H80" s="15" t="s">
        <v>449</v>
      </c>
      <c r="I80" s="6" t="str">
        <f t="shared" si="9"/>
        <v>Group decision making with linguistic distribution preference relations: An interval numerical scale-based approach</v>
      </c>
      <c r="J80" s="15"/>
      <c r="K80" s="15" t="s">
        <v>443</v>
      </c>
      <c r="L80" s="6" t="str">
        <f t="shared" si="10"/>
        <v>the 14th International Conference on Intelligent Systems and Knowledge Engineering (ISKE)</v>
      </c>
      <c r="M80" s="15"/>
      <c r="N80" s="16" t="s">
        <v>153</v>
      </c>
      <c r="O80" s="16" t="s">
        <v>153</v>
      </c>
      <c r="P80" s="16" t="s">
        <v>450</v>
      </c>
      <c r="Q80" s="15" t="s">
        <v>451</v>
      </c>
      <c r="R80" s="6" t="str" cm="1">
        <f t="array" ref="R80">_xlfn.LET(_xlpm.issn,TRIM(M80)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0" s="16"/>
      <c r="T80" s="16"/>
      <c r="U80" s="16" t="s">
        <v>39</v>
      </c>
      <c r="V80" s="16"/>
      <c r="W80" s="16" t="s">
        <v>39</v>
      </c>
      <c r="X80" s="16"/>
      <c r="Y80" s="16"/>
      <c r="Z80" s="15"/>
      <c r="AA80" s="15"/>
      <c r="AB80" s="15"/>
      <c r="AC80" s="15"/>
      <c r="AD80" s="15"/>
      <c r="AE80" s="15" t="s">
        <v>446</v>
      </c>
      <c r="AF80" s="15" t="s">
        <v>447</v>
      </c>
    </row>
    <row r="81" spans="1:32" ht="79.8" hidden="1" customHeight="1" x14ac:dyDescent="0.3">
      <c r="A81" s="6" t="s">
        <v>151</v>
      </c>
      <c r="B81" s="6" t="s">
        <v>33</v>
      </c>
      <c r="C81" s="6" t="s">
        <v>102</v>
      </c>
      <c r="D81" s="6" t="s">
        <v>102</v>
      </c>
      <c r="E81" s="6" t="s">
        <v>452</v>
      </c>
      <c r="F81" s="6" t="s">
        <v>452</v>
      </c>
      <c r="G81" s="8" t="s">
        <v>441</v>
      </c>
      <c r="H81" s="6" t="s">
        <v>453</v>
      </c>
      <c r="I81" s="6" t="str">
        <f t="shared" si="9"/>
        <v>Stable two-sided matching decision making with incomplete fuzzy preference relations: A disappointment theory based approach</v>
      </c>
      <c r="J81" s="6"/>
      <c r="K81" s="6" t="s">
        <v>87</v>
      </c>
      <c r="L81" s="6" t="str">
        <f t="shared" si="10"/>
        <v>Applied Soft Computing</v>
      </c>
      <c r="M81" s="6" t="s">
        <v>88</v>
      </c>
      <c r="N81" s="8" t="s">
        <v>454</v>
      </c>
      <c r="O81" s="8" t="s">
        <v>153</v>
      </c>
      <c r="P81" s="8" t="s">
        <v>455</v>
      </c>
      <c r="Q81" s="6" t="s">
        <v>456</v>
      </c>
      <c r="R81" s="8" t="str" cm="1">
        <f t="array" ref="R81">_xlfn.LET(_xlpm.issn,TRIM(M81)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1" s="8" t="s">
        <v>39</v>
      </c>
      <c r="T81" s="8" t="s">
        <v>457</v>
      </c>
      <c r="U81" s="8" t="s">
        <v>39</v>
      </c>
      <c r="V81" s="8"/>
      <c r="W81" s="8"/>
      <c r="X81" s="8"/>
      <c r="Y81" s="8"/>
      <c r="Z81" s="6"/>
      <c r="AA81" s="6"/>
      <c r="AB81" s="6"/>
      <c r="AC81" s="6"/>
      <c r="AD81" s="6"/>
      <c r="AE81" s="6"/>
      <c r="AF81" s="6"/>
    </row>
    <row r="82" spans="1:32" ht="79.8" customHeight="1" x14ac:dyDescent="0.3">
      <c r="A82" s="15" t="s">
        <v>421</v>
      </c>
      <c r="B82" s="15" t="s">
        <v>33</v>
      </c>
      <c r="C82" s="15" t="s">
        <v>102</v>
      </c>
      <c r="D82" s="15" t="s">
        <v>102</v>
      </c>
      <c r="E82" s="15" t="s">
        <v>458</v>
      </c>
      <c r="F82" s="15" t="s">
        <v>458</v>
      </c>
      <c r="G82" s="16" t="s">
        <v>441</v>
      </c>
      <c r="H82" s="15" t="s">
        <v>459</v>
      </c>
      <c r="I82" s="6" t="str">
        <f t="shared" si="9"/>
        <v>Evaluating collaboration ability of R&amp;D team members: A multi-granular hesitant fuzzy linguistic approach</v>
      </c>
      <c r="J82" s="15"/>
      <c r="K82" s="15" t="s">
        <v>460</v>
      </c>
      <c r="L82" s="6" t="str">
        <f t="shared" si="10"/>
        <v>the 11th Conference of the European Society for Fuzzy Logic and Technology (EUSFLAT 2019)</v>
      </c>
      <c r="M82" s="15"/>
      <c r="N82" s="16" t="s">
        <v>153</v>
      </c>
      <c r="O82" s="16" t="s">
        <v>153</v>
      </c>
      <c r="P82" s="16" t="s">
        <v>461</v>
      </c>
      <c r="Q82" s="15" t="s">
        <v>462</v>
      </c>
      <c r="R82" s="6" t="str" cm="1">
        <f t="array" ref="R82">_xlfn.LET(_xlpm.issn,TRIM(M82)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2" s="16"/>
      <c r="T82" s="16"/>
      <c r="U82" s="16" t="s">
        <v>39</v>
      </c>
      <c r="V82" s="16"/>
      <c r="W82" s="16" t="s">
        <v>39</v>
      </c>
      <c r="X82" s="16"/>
      <c r="Y82" s="16"/>
      <c r="Z82" s="15"/>
      <c r="AA82" s="15"/>
      <c r="AB82" s="15"/>
      <c r="AC82" s="15"/>
      <c r="AD82" s="15"/>
      <c r="AE82" s="15" t="s">
        <v>463</v>
      </c>
      <c r="AF82" s="15" t="s">
        <v>464</v>
      </c>
    </row>
    <row r="83" spans="1:32" ht="79.8" hidden="1" customHeight="1" x14ac:dyDescent="0.3">
      <c r="A83" s="6" t="s">
        <v>151</v>
      </c>
      <c r="B83" s="6" t="s">
        <v>33</v>
      </c>
      <c r="C83" s="6" t="s">
        <v>465</v>
      </c>
      <c r="D83" s="6" t="s">
        <v>465</v>
      </c>
      <c r="E83" s="6" t="s">
        <v>466</v>
      </c>
      <c r="F83" s="6" t="s">
        <v>466</v>
      </c>
      <c r="G83" s="8" t="s">
        <v>467</v>
      </c>
      <c r="H83" s="6" t="s">
        <v>468</v>
      </c>
      <c r="I83" s="6" t="str">
        <f t="shared" si="9"/>
        <v>A reducibility method for the weak linear bilevel programming problems and a case study in principal-agent</v>
      </c>
      <c r="J83" s="6"/>
      <c r="K83" s="6" t="s">
        <v>111</v>
      </c>
      <c r="L83" s="6" t="str">
        <f t="shared" si="10"/>
        <v>Information Sciences</v>
      </c>
      <c r="M83" s="6" t="s">
        <v>112</v>
      </c>
      <c r="N83" s="8" t="s">
        <v>469</v>
      </c>
      <c r="O83" s="8" t="s">
        <v>153</v>
      </c>
      <c r="P83" s="8" t="s">
        <v>470</v>
      </c>
      <c r="Q83" s="6" t="s">
        <v>471</v>
      </c>
      <c r="R83" s="8" t="str" cm="1">
        <f t="array" ref="R83">_xlfn.LET(_xlpm.issn,TRIM(M83)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3" s="8" t="s">
        <v>39</v>
      </c>
      <c r="T83" s="8"/>
      <c r="U83" s="8" t="s">
        <v>39</v>
      </c>
      <c r="V83" s="8"/>
      <c r="W83" s="8"/>
      <c r="X83" s="8" t="s">
        <v>40</v>
      </c>
      <c r="Y83" s="8"/>
      <c r="Z83" s="6"/>
      <c r="AA83" s="6"/>
      <c r="AB83" s="6"/>
      <c r="AC83" s="6"/>
      <c r="AD83" s="6"/>
      <c r="AE83" s="6"/>
      <c r="AF83" s="6"/>
    </row>
    <row r="84" spans="1:32" ht="79.8" customHeight="1" x14ac:dyDescent="0.3">
      <c r="A84" s="15" t="s">
        <v>421</v>
      </c>
      <c r="B84" s="15" t="s">
        <v>33</v>
      </c>
      <c r="C84" s="15"/>
      <c r="D84" s="15"/>
      <c r="E84" s="15" t="s">
        <v>69</v>
      </c>
      <c r="F84" s="15" t="s">
        <v>69</v>
      </c>
      <c r="G84" s="16" t="s">
        <v>467</v>
      </c>
      <c r="H84" s="15" t="s">
        <v>472</v>
      </c>
      <c r="I84" s="6" t="str">
        <f t="shared" si="9"/>
        <v>An optimization-based approach to aggregating multi-granular hesitant fuzzy linguistic term sets</v>
      </c>
      <c r="J84" s="15"/>
      <c r="K84" s="15" t="s">
        <v>473</v>
      </c>
      <c r="L84" s="6" t="str">
        <f t="shared" si="10"/>
        <v>the 13th International FLINS Conference on Data Science and Knowledge Engineering for Sensing Decision Support (FLINS 2018)</v>
      </c>
      <c r="M84" s="15"/>
      <c r="N84" s="16" t="s">
        <v>153</v>
      </c>
      <c r="O84" s="16" t="s">
        <v>153</v>
      </c>
      <c r="P84" s="16" t="s">
        <v>474</v>
      </c>
      <c r="Q84" s="15" t="s">
        <v>475</v>
      </c>
      <c r="R84" s="6" t="str" cm="1">
        <f t="array" ref="R84">_xlfn.LET(_xlpm.issn,TRIM(M84)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4" s="16"/>
      <c r="T84" s="16"/>
      <c r="U84" s="16"/>
      <c r="V84" s="16"/>
      <c r="W84" s="16" t="s">
        <v>39</v>
      </c>
      <c r="X84" s="16"/>
      <c r="Y84" s="16"/>
      <c r="Z84" s="15"/>
      <c r="AA84" s="15"/>
      <c r="AB84" s="15"/>
      <c r="AC84" s="15"/>
      <c r="AD84" s="15"/>
      <c r="AE84" s="15" t="s">
        <v>476</v>
      </c>
      <c r="AF84" s="15" t="s">
        <v>477</v>
      </c>
    </row>
    <row r="85" spans="1:32" ht="79.8" hidden="1" customHeight="1" x14ac:dyDescent="0.3">
      <c r="A85" s="6" t="s">
        <v>151</v>
      </c>
      <c r="B85" s="6" t="s">
        <v>116</v>
      </c>
      <c r="C85" s="6" t="s">
        <v>157</v>
      </c>
      <c r="D85" s="6" t="s">
        <v>34</v>
      </c>
      <c r="E85" s="6" t="s">
        <v>478</v>
      </c>
      <c r="F85" s="6" t="s">
        <v>479</v>
      </c>
      <c r="G85" s="8" t="s">
        <v>467</v>
      </c>
      <c r="H85" s="6" t="s">
        <v>480</v>
      </c>
      <c r="I85" s="6" t="s">
        <v>481</v>
      </c>
      <c r="J85" s="6"/>
      <c r="K85" s="6" t="s">
        <v>128</v>
      </c>
      <c r="L85" s="6" t="s">
        <v>482</v>
      </c>
      <c r="M85" s="6"/>
      <c r="N85" s="8" t="s">
        <v>483</v>
      </c>
      <c r="O85" s="8" t="s">
        <v>50</v>
      </c>
      <c r="P85" s="8" t="s">
        <v>484</v>
      </c>
      <c r="Q85" s="6" t="s">
        <v>485</v>
      </c>
      <c r="R85" s="6"/>
      <c r="S85" s="8"/>
      <c r="T85" s="8"/>
      <c r="U85" s="8" t="s">
        <v>39</v>
      </c>
      <c r="V85" s="8" t="s">
        <v>39</v>
      </c>
      <c r="W85" s="8"/>
      <c r="X85" s="8" t="s">
        <v>124</v>
      </c>
      <c r="Y85" s="8"/>
      <c r="Z85" s="6"/>
      <c r="AA85" s="6"/>
      <c r="AB85" s="6"/>
      <c r="AC85" s="6"/>
      <c r="AD85" s="6"/>
      <c r="AE85" s="6"/>
      <c r="AF85" s="6"/>
    </row>
    <row r="86" spans="1:32" ht="79.8" hidden="1" customHeight="1" x14ac:dyDescent="0.3">
      <c r="A86" s="15" t="s">
        <v>151</v>
      </c>
      <c r="B86" s="15" t="s">
        <v>33</v>
      </c>
      <c r="C86" s="15" t="s">
        <v>486</v>
      </c>
      <c r="D86" s="15" t="s">
        <v>486</v>
      </c>
      <c r="E86" s="15" t="s">
        <v>487</v>
      </c>
      <c r="F86" s="15" t="s">
        <v>487</v>
      </c>
      <c r="G86" s="16" t="s">
        <v>467</v>
      </c>
      <c r="H86" s="15" t="s">
        <v>488</v>
      </c>
      <c r="I86" s="6" t="str">
        <f t="shared" ref="I86:I105" si="11">IF(B86="英文",H86,"")</f>
        <v>Additive consistency analysis and improvement for hesitant fuzzy preference relations</v>
      </c>
      <c r="J86" s="15"/>
      <c r="K86" s="15" t="s">
        <v>96</v>
      </c>
      <c r="L86" s="6" t="str">
        <f t="shared" ref="L86:L105" si="12">IF(B86="英文",K86,"")</f>
        <v>Expert Systems with Applications</v>
      </c>
      <c r="M86" s="15" t="s">
        <v>97</v>
      </c>
      <c r="N86" s="16" t="s">
        <v>489</v>
      </c>
      <c r="O86" s="16" t="s">
        <v>153</v>
      </c>
      <c r="P86" s="16" t="s">
        <v>490</v>
      </c>
      <c r="Q86" s="15" t="s">
        <v>491</v>
      </c>
      <c r="R86" s="8" t="str" cm="1">
        <f t="array" ref="R86">_xlfn.LET(_xlpm.issn,TRIM(M86)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6" s="16" t="s">
        <v>39</v>
      </c>
      <c r="T86" s="16"/>
      <c r="U86" s="16" t="s">
        <v>39</v>
      </c>
      <c r="V86" s="16"/>
      <c r="W86" s="16"/>
      <c r="X86" s="16"/>
      <c r="Y86" s="16"/>
      <c r="Z86" s="15" t="s">
        <v>39</v>
      </c>
      <c r="AA86" s="15"/>
      <c r="AB86" s="15"/>
      <c r="AC86" s="15"/>
      <c r="AD86" s="15"/>
      <c r="AE86" s="15"/>
      <c r="AF86" s="15"/>
    </row>
    <row r="87" spans="1:32" ht="79.8" hidden="1" customHeight="1" x14ac:dyDescent="0.3">
      <c r="A87" s="6" t="s">
        <v>151</v>
      </c>
      <c r="B87" s="6" t="s">
        <v>33</v>
      </c>
      <c r="C87" s="6" t="s">
        <v>102</v>
      </c>
      <c r="D87" s="6" t="s">
        <v>102</v>
      </c>
      <c r="E87" s="6" t="s">
        <v>492</v>
      </c>
      <c r="F87" s="6" t="s">
        <v>492</v>
      </c>
      <c r="G87" s="8" t="s">
        <v>467</v>
      </c>
      <c r="H87" s="6" t="s">
        <v>493</v>
      </c>
      <c r="I87" s="6" t="str">
        <f t="shared" si="11"/>
        <v>On priority weights and consistency for incomplete hesitant fuzzy preference relations</v>
      </c>
      <c r="J87" s="6"/>
      <c r="K87" s="6" t="s">
        <v>430</v>
      </c>
      <c r="L87" s="6" t="str">
        <f t="shared" si="12"/>
        <v>Knowledge-Based Systems</v>
      </c>
      <c r="M87" s="6" t="s">
        <v>431</v>
      </c>
      <c r="N87" s="8" t="s">
        <v>494</v>
      </c>
      <c r="O87" s="8" t="s">
        <v>153</v>
      </c>
      <c r="P87" s="8" t="s">
        <v>495</v>
      </c>
      <c r="Q87" s="6" t="s">
        <v>496</v>
      </c>
      <c r="R87" s="8" t="str" cm="1">
        <f t="array" ref="R87">_xlfn.LET(_xlpm.issn,TRIM(M87)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7" s="8" t="s">
        <v>39</v>
      </c>
      <c r="T87" s="8"/>
      <c r="U87" s="8" t="s">
        <v>39</v>
      </c>
      <c r="V87" s="8"/>
      <c r="W87" s="8"/>
      <c r="X87" s="8"/>
      <c r="Y87" s="8"/>
      <c r="Z87" s="6" t="s">
        <v>39</v>
      </c>
      <c r="AA87" s="6" t="s">
        <v>39</v>
      </c>
      <c r="AB87" s="6"/>
      <c r="AC87" s="6"/>
      <c r="AD87" s="6"/>
      <c r="AE87" s="6"/>
      <c r="AF87" s="6"/>
    </row>
    <row r="88" spans="1:32" ht="79.8" hidden="1" customHeight="1" x14ac:dyDescent="0.3">
      <c r="A88" s="15" t="s">
        <v>151</v>
      </c>
      <c r="B88" s="15" t="s">
        <v>33</v>
      </c>
      <c r="C88" s="15" t="s">
        <v>34</v>
      </c>
      <c r="D88" s="15" t="s">
        <v>34</v>
      </c>
      <c r="E88" s="15" t="s">
        <v>497</v>
      </c>
      <c r="F88" s="15" t="s">
        <v>497</v>
      </c>
      <c r="G88" s="16" t="s">
        <v>498</v>
      </c>
      <c r="H88" s="15" t="s">
        <v>499</v>
      </c>
      <c r="I88" s="6" t="str">
        <f t="shared" si="11"/>
        <v>Extended TODIM for multi-criteria group decision making based on unbalanced hesitant fuzzy linguistic term sets</v>
      </c>
      <c r="J88" s="15"/>
      <c r="K88" s="15" t="s">
        <v>100</v>
      </c>
      <c r="L88" s="6" t="str">
        <f t="shared" si="12"/>
        <v>Computers &amp; Industrial Engineering</v>
      </c>
      <c r="M88" s="15" t="s">
        <v>101</v>
      </c>
      <c r="N88" s="16" t="s">
        <v>500</v>
      </c>
      <c r="O88" s="16" t="s">
        <v>153</v>
      </c>
      <c r="P88" s="16" t="s">
        <v>501</v>
      </c>
      <c r="Q88" s="15" t="s">
        <v>502</v>
      </c>
      <c r="R88" s="8" t="str" cm="1">
        <f t="array" ref="R88">_xlfn.LET(_xlpm.issn,TRIM(M88)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8" s="16" t="s">
        <v>39</v>
      </c>
      <c r="T88" s="16" t="s">
        <v>39</v>
      </c>
      <c r="U88" s="16" t="s">
        <v>39</v>
      </c>
      <c r="V88" s="16"/>
      <c r="W88" s="16"/>
      <c r="X88" s="16" t="s">
        <v>40</v>
      </c>
      <c r="Y88" s="16" t="s">
        <v>181</v>
      </c>
      <c r="Z88" s="15" t="s">
        <v>39</v>
      </c>
      <c r="AA88" s="15"/>
      <c r="AB88" s="15"/>
      <c r="AC88" s="15"/>
      <c r="AD88" s="15"/>
      <c r="AE88" s="15"/>
      <c r="AF88" s="15"/>
    </row>
    <row r="89" spans="1:32" ht="79.8" customHeight="1" x14ac:dyDescent="0.3">
      <c r="A89" s="6" t="s">
        <v>421</v>
      </c>
      <c r="B89" s="6" t="s">
        <v>33</v>
      </c>
      <c r="C89" s="6"/>
      <c r="D89" s="6"/>
      <c r="E89" s="6" t="s">
        <v>503</v>
      </c>
      <c r="F89" s="6" t="s">
        <v>503</v>
      </c>
      <c r="G89" s="8" t="s">
        <v>498</v>
      </c>
      <c r="H89" s="6" t="s">
        <v>504</v>
      </c>
      <c r="I89" s="6" t="str">
        <f t="shared" si="11"/>
        <v>Two-sided matching decision making based on heterogeneous incomplete preference relations</v>
      </c>
      <c r="J89" s="6"/>
      <c r="K89" s="6" t="s">
        <v>505</v>
      </c>
      <c r="L89" s="6" t="str">
        <f t="shared" si="12"/>
        <v>the 12th International Conference on Intelligent Systems and Knowledge Engineering (ISKE2017)</v>
      </c>
      <c r="M89" s="6"/>
      <c r="N89" s="8" t="s">
        <v>153</v>
      </c>
      <c r="O89" s="8" t="s">
        <v>153</v>
      </c>
      <c r="P89" s="8" t="s">
        <v>506</v>
      </c>
      <c r="Q89" s="6" t="s">
        <v>507</v>
      </c>
      <c r="R89" s="6" t="str" cm="1">
        <f t="array" ref="R89">_xlfn.LET(_xlpm.issn,TRIM(M89)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89" s="8"/>
      <c r="T89" s="8"/>
      <c r="U89" s="8" t="s">
        <v>39</v>
      </c>
      <c r="V89" s="8"/>
      <c r="W89" s="8" t="s">
        <v>39</v>
      </c>
      <c r="X89" s="8"/>
      <c r="Y89" s="8"/>
      <c r="Z89" s="6"/>
      <c r="AA89" s="6"/>
      <c r="AB89" s="6"/>
      <c r="AC89" s="6"/>
      <c r="AD89" s="6"/>
      <c r="AE89" s="6" t="s">
        <v>508</v>
      </c>
      <c r="AF89" s="6" t="s">
        <v>509</v>
      </c>
    </row>
    <row r="90" spans="1:32" ht="79.8" customHeight="1" x14ac:dyDescent="0.3">
      <c r="A90" s="15" t="s">
        <v>421</v>
      </c>
      <c r="B90" s="15" t="s">
        <v>33</v>
      </c>
      <c r="C90" s="15"/>
      <c r="D90" s="15"/>
      <c r="E90" s="15" t="s">
        <v>510</v>
      </c>
      <c r="F90" s="15" t="s">
        <v>510</v>
      </c>
      <c r="G90" s="16" t="s">
        <v>498</v>
      </c>
      <c r="H90" s="15" t="s">
        <v>511</v>
      </c>
      <c r="I90" s="6" t="str">
        <f t="shared" si="11"/>
        <v>Textual topic evolution analysis based on term co-occurrence: A case study on the government work report of the State Council (1954-2017)</v>
      </c>
      <c r="J90" s="15"/>
      <c r="K90" s="15" t="s">
        <v>505</v>
      </c>
      <c r="L90" s="6" t="str">
        <f t="shared" si="12"/>
        <v>the 12th International Conference on Intelligent Systems and Knowledge Engineering (ISKE2017)</v>
      </c>
      <c r="M90" s="15"/>
      <c r="N90" s="16" t="s">
        <v>153</v>
      </c>
      <c r="O90" s="16" t="s">
        <v>153</v>
      </c>
      <c r="P90" s="16" t="s">
        <v>506</v>
      </c>
      <c r="Q90" s="15" t="s">
        <v>512</v>
      </c>
      <c r="R90" s="6" t="str" cm="1">
        <f t="array" ref="R90">_xlfn.LET(_xlpm.issn,TRIM(M90)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0" s="16"/>
      <c r="T90" s="16"/>
      <c r="U90" s="16" t="s">
        <v>39</v>
      </c>
      <c r="V90" s="16"/>
      <c r="W90" s="16" t="s">
        <v>39</v>
      </c>
      <c r="X90" s="16"/>
      <c r="Y90" s="16"/>
      <c r="Z90" s="15"/>
      <c r="AA90" s="15"/>
      <c r="AB90" s="15"/>
      <c r="AC90" s="15"/>
      <c r="AD90" s="15"/>
      <c r="AE90" s="15" t="s">
        <v>508</v>
      </c>
      <c r="AF90" s="15" t="s">
        <v>509</v>
      </c>
    </row>
    <row r="91" spans="1:32" ht="79.8" customHeight="1" x14ac:dyDescent="0.3">
      <c r="A91" s="6" t="s">
        <v>421</v>
      </c>
      <c r="B91" s="6" t="s">
        <v>33</v>
      </c>
      <c r="C91" s="6" t="s">
        <v>34</v>
      </c>
      <c r="D91" s="6" t="s">
        <v>34</v>
      </c>
      <c r="E91" s="6" t="s">
        <v>416</v>
      </c>
      <c r="F91" s="6" t="s">
        <v>416</v>
      </c>
      <c r="G91" s="8" t="s">
        <v>498</v>
      </c>
      <c r="H91" s="6" t="s">
        <v>513</v>
      </c>
      <c r="I91" s="6" t="str">
        <f t="shared" si="11"/>
        <v>A TODIM-based approach to large-scale group decision making with multi-granular unbalanced linguistic information</v>
      </c>
      <c r="J91" s="6"/>
      <c r="K91" s="6" t="s">
        <v>514</v>
      </c>
      <c r="L91" s="6" t="str">
        <f t="shared" si="12"/>
        <v>the 2017 IEEE International Conference on Fuzzy Systems (FUZZ-IEEE)</v>
      </c>
      <c r="M91" s="6"/>
      <c r="N91" s="8" t="s">
        <v>153</v>
      </c>
      <c r="O91" s="8" t="s">
        <v>153</v>
      </c>
      <c r="P91" s="8" t="s">
        <v>506</v>
      </c>
      <c r="Q91" s="6" t="s">
        <v>515</v>
      </c>
      <c r="R91" s="6" t="str" cm="1">
        <f t="array" ref="R91">_xlfn.LET(_xlpm.issn,TRIM(M91)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1" s="8"/>
      <c r="T91" s="8"/>
      <c r="U91" s="8" t="s">
        <v>39</v>
      </c>
      <c r="V91" s="8"/>
      <c r="W91" s="8" t="s">
        <v>39</v>
      </c>
      <c r="X91" s="8"/>
      <c r="Y91" s="8"/>
      <c r="Z91" s="6"/>
      <c r="AA91" s="6"/>
      <c r="AB91" s="6"/>
      <c r="AC91" s="6"/>
      <c r="AD91" s="6"/>
      <c r="AE91" s="6" t="s">
        <v>516</v>
      </c>
      <c r="AF91" s="6" t="s">
        <v>517</v>
      </c>
    </row>
    <row r="92" spans="1:32" ht="79.8" hidden="1" customHeight="1" x14ac:dyDescent="0.3">
      <c r="A92" s="15" t="s">
        <v>151</v>
      </c>
      <c r="B92" s="15" t="s">
        <v>33</v>
      </c>
      <c r="C92" s="15" t="s">
        <v>34</v>
      </c>
      <c r="D92" s="15" t="s">
        <v>34</v>
      </c>
      <c r="E92" s="15" t="s">
        <v>518</v>
      </c>
      <c r="F92" s="15" t="s">
        <v>518</v>
      </c>
      <c r="G92" s="16" t="s">
        <v>498</v>
      </c>
      <c r="H92" s="15" t="s">
        <v>519</v>
      </c>
      <c r="I92" s="6" t="str">
        <f t="shared" si="11"/>
        <v>Deriving priority weights from intuitionistic multiplicative preference relations under group decision-making settings</v>
      </c>
      <c r="J92" s="15"/>
      <c r="K92" s="15" t="s">
        <v>72</v>
      </c>
      <c r="L92" s="6" t="str">
        <f t="shared" si="12"/>
        <v>Journal of the Operational Research Society</v>
      </c>
      <c r="M92" s="15" t="s">
        <v>73</v>
      </c>
      <c r="N92" s="16" t="s">
        <v>520</v>
      </c>
      <c r="O92" s="16" t="s">
        <v>521</v>
      </c>
      <c r="P92" s="16" t="s">
        <v>522</v>
      </c>
      <c r="Q92" s="15" t="s">
        <v>523</v>
      </c>
      <c r="R92" s="8" t="str" cm="1">
        <f t="array" ref="R92">_xlfn.LET(_xlpm.issn,TRIM(M92)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2" s="16" t="s">
        <v>39</v>
      </c>
      <c r="T92" s="16" t="s">
        <v>39</v>
      </c>
      <c r="U92" s="16" t="s">
        <v>39</v>
      </c>
      <c r="V92" s="16"/>
      <c r="W92" s="16"/>
      <c r="X92" s="16" t="s">
        <v>40</v>
      </c>
      <c r="Y92" s="16" t="s">
        <v>50</v>
      </c>
      <c r="Z92" s="15"/>
      <c r="AA92" s="15"/>
      <c r="AB92" s="15"/>
      <c r="AC92" s="15"/>
      <c r="AD92" s="15"/>
      <c r="AE92" s="15"/>
      <c r="AF92" s="15"/>
    </row>
    <row r="93" spans="1:32" ht="79.8" hidden="1" customHeight="1" x14ac:dyDescent="0.3">
      <c r="A93" s="6" t="s">
        <v>151</v>
      </c>
      <c r="B93" s="6" t="s">
        <v>33</v>
      </c>
      <c r="C93" s="6"/>
      <c r="D93" s="6"/>
      <c r="E93" s="6" t="s">
        <v>524</v>
      </c>
      <c r="F93" s="6" t="s">
        <v>524</v>
      </c>
      <c r="G93" s="8" t="s">
        <v>498</v>
      </c>
      <c r="H93" s="6" t="s">
        <v>525</v>
      </c>
      <c r="I93" s="6" t="str">
        <f t="shared" si="11"/>
        <v>Managing multigranular linguistic distribution assessments in large-scale multiattribute group decision making</v>
      </c>
      <c r="J93" s="6"/>
      <c r="K93" s="6" t="s">
        <v>67</v>
      </c>
      <c r="L93" s="6" t="str">
        <f t="shared" si="12"/>
        <v>IEEE Transactions on Systems, Man, and Cybernetics: Systems</v>
      </c>
      <c r="M93" s="6" t="s">
        <v>68</v>
      </c>
      <c r="N93" s="8" t="s">
        <v>526</v>
      </c>
      <c r="O93" s="8" t="s">
        <v>282</v>
      </c>
      <c r="P93" s="8" t="s">
        <v>527</v>
      </c>
      <c r="Q93" s="6" t="s">
        <v>528</v>
      </c>
      <c r="R93" s="8" t="str" cm="1">
        <f t="array" ref="R93">_xlfn.LET(_xlpm.issn,TRIM(M93)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3" s="8" t="s">
        <v>39</v>
      </c>
      <c r="T93" s="8" t="s">
        <v>39</v>
      </c>
      <c r="U93" s="8" t="s">
        <v>39</v>
      </c>
      <c r="V93" s="8"/>
      <c r="W93" s="8"/>
      <c r="X93" s="8" t="s">
        <v>40</v>
      </c>
      <c r="Y93" s="8" t="s">
        <v>50</v>
      </c>
      <c r="Z93" s="6" t="s">
        <v>39</v>
      </c>
      <c r="AA93" s="6"/>
      <c r="AB93" s="6"/>
      <c r="AC93" s="6"/>
      <c r="AD93" s="6"/>
      <c r="AE93" s="6"/>
      <c r="AF93" s="6"/>
    </row>
    <row r="94" spans="1:32" ht="79.8" customHeight="1" x14ac:dyDescent="0.3">
      <c r="A94" s="15" t="s">
        <v>421</v>
      </c>
      <c r="B94" s="15" t="s">
        <v>33</v>
      </c>
      <c r="C94" s="15" t="s">
        <v>34</v>
      </c>
      <c r="D94" s="15" t="s">
        <v>34</v>
      </c>
      <c r="E94" s="15" t="s">
        <v>529</v>
      </c>
      <c r="F94" s="15" t="s">
        <v>529</v>
      </c>
      <c r="G94" s="16" t="s">
        <v>530</v>
      </c>
      <c r="H94" s="15" t="s">
        <v>531</v>
      </c>
      <c r="I94" s="6" t="str">
        <f t="shared" si="11"/>
        <v>Group decision making based on acceptably consistent interval multiplicative preference relations</v>
      </c>
      <c r="J94" s="15"/>
      <c r="K94" s="15" t="s">
        <v>532</v>
      </c>
      <c r="L94" s="6" t="str">
        <f t="shared" si="12"/>
        <v>the 17th International Symposium on Knowledge and Systems Sciences (KSS 2016)</v>
      </c>
      <c r="M94" s="15"/>
      <c r="N94" s="16" t="s">
        <v>153</v>
      </c>
      <c r="O94" s="16" t="s">
        <v>153</v>
      </c>
      <c r="P94" s="16" t="s">
        <v>533</v>
      </c>
      <c r="Q94" s="15" t="s">
        <v>534</v>
      </c>
      <c r="R94" s="6" t="str" cm="1">
        <f t="array" ref="R94">_xlfn.LET(_xlpm.issn,TRIM(M94)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4" s="16"/>
      <c r="T94" s="16"/>
      <c r="U94" s="16" t="s">
        <v>39</v>
      </c>
      <c r="V94" s="16"/>
      <c r="W94" s="16" t="s">
        <v>39</v>
      </c>
      <c r="X94" s="16"/>
      <c r="Y94" s="16"/>
      <c r="Z94" s="15"/>
      <c r="AA94" s="15"/>
      <c r="AB94" s="15"/>
      <c r="AC94" s="15"/>
      <c r="AD94" s="15"/>
      <c r="AE94" s="15" t="s">
        <v>535</v>
      </c>
      <c r="AF94" s="15" t="s">
        <v>536</v>
      </c>
    </row>
    <row r="95" spans="1:32" ht="79.8" customHeight="1" x14ac:dyDescent="0.3">
      <c r="A95" s="6" t="s">
        <v>421</v>
      </c>
      <c r="B95" s="6" t="s">
        <v>33</v>
      </c>
      <c r="C95" s="6"/>
      <c r="D95" s="6"/>
      <c r="E95" s="6" t="s">
        <v>518</v>
      </c>
      <c r="F95" s="6" t="s">
        <v>518</v>
      </c>
      <c r="G95" s="8" t="s">
        <v>530</v>
      </c>
      <c r="H95" s="6" t="s">
        <v>537</v>
      </c>
      <c r="I95" s="6" t="str">
        <f t="shared" si="11"/>
        <v>Minimum adjustment-based consistency and consensus models for group decision making with interval pairwise comparison matrices</v>
      </c>
      <c r="J95" s="6"/>
      <c r="K95" s="6" t="s">
        <v>538</v>
      </c>
      <c r="L95" s="6" t="str">
        <f t="shared" si="12"/>
        <v>the 2016 IEEE International Conference on Fuzzy Systems (FUZZ-IEEE)</v>
      </c>
      <c r="M95" s="6"/>
      <c r="N95" s="8" t="s">
        <v>153</v>
      </c>
      <c r="O95" s="8" t="s">
        <v>153</v>
      </c>
      <c r="P95" s="8" t="s">
        <v>539</v>
      </c>
      <c r="Q95" s="6" t="s">
        <v>540</v>
      </c>
      <c r="R95" s="6" t="str" cm="1">
        <f t="array" ref="R95">_xlfn.LET(_xlpm.issn,TRIM(M95)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5" s="8"/>
      <c r="T95" s="8"/>
      <c r="U95" s="8" t="s">
        <v>39</v>
      </c>
      <c r="V95" s="8"/>
      <c r="W95" s="8" t="s">
        <v>39</v>
      </c>
      <c r="X95" s="8"/>
      <c r="Y95" s="8"/>
      <c r="Z95" s="6"/>
      <c r="AA95" s="6"/>
      <c r="AB95" s="6"/>
      <c r="AC95" s="6"/>
      <c r="AD95" s="6"/>
      <c r="AE95" s="6" t="s">
        <v>541</v>
      </c>
      <c r="AF95" s="6" t="s">
        <v>542</v>
      </c>
    </row>
    <row r="96" spans="1:32" ht="79.8" customHeight="1" x14ac:dyDescent="0.3">
      <c r="A96" s="15" t="s">
        <v>421</v>
      </c>
      <c r="B96" s="15" t="s">
        <v>33</v>
      </c>
      <c r="C96" s="15" t="s">
        <v>34</v>
      </c>
      <c r="D96" s="15" t="s">
        <v>34</v>
      </c>
      <c r="E96" s="15" t="s">
        <v>479</v>
      </c>
      <c r="F96" s="15" t="s">
        <v>479</v>
      </c>
      <c r="G96" s="16" t="s">
        <v>530</v>
      </c>
      <c r="H96" s="15" t="s">
        <v>543</v>
      </c>
      <c r="I96" s="6" t="str">
        <f t="shared" si="11"/>
        <v>Fusing multi-granular unbalanced hesitant fuzzy linguistic information in group decision making</v>
      </c>
      <c r="J96" s="15"/>
      <c r="K96" s="15" t="s">
        <v>538</v>
      </c>
      <c r="L96" s="6" t="str">
        <f t="shared" si="12"/>
        <v>the 2016 IEEE International Conference on Fuzzy Systems (FUZZ-IEEE)</v>
      </c>
      <c r="M96" s="15"/>
      <c r="N96" s="16" t="s">
        <v>153</v>
      </c>
      <c r="O96" s="16" t="s">
        <v>153</v>
      </c>
      <c r="P96" s="16" t="s">
        <v>544</v>
      </c>
      <c r="Q96" s="15" t="s">
        <v>545</v>
      </c>
      <c r="R96" s="6" t="str" cm="1">
        <f t="array" ref="R96">_xlfn.LET(_xlpm.issn,TRIM(M96)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6" s="16"/>
      <c r="T96" s="16"/>
      <c r="U96" s="16" t="s">
        <v>39</v>
      </c>
      <c r="V96" s="16"/>
      <c r="W96" s="16" t="s">
        <v>39</v>
      </c>
      <c r="X96" s="16"/>
      <c r="Y96" s="16"/>
      <c r="Z96" s="15"/>
      <c r="AA96" s="15"/>
      <c r="AB96" s="15"/>
      <c r="AC96" s="15"/>
      <c r="AD96" s="15"/>
      <c r="AE96" s="15" t="s">
        <v>541</v>
      </c>
      <c r="AF96" s="15" t="s">
        <v>542</v>
      </c>
    </row>
    <row r="97" spans="1:32" ht="79.8" hidden="1" customHeight="1" x14ac:dyDescent="0.3">
      <c r="A97" s="6" t="s">
        <v>151</v>
      </c>
      <c r="B97" s="6" t="s">
        <v>33</v>
      </c>
      <c r="C97" s="6" t="s">
        <v>34</v>
      </c>
      <c r="D97" s="6" t="s">
        <v>34</v>
      </c>
      <c r="E97" s="6" t="s">
        <v>518</v>
      </c>
      <c r="F97" s="6" t="s">
        <v>518</v>
      </c>
      <c r="G97" s="8" t="s">
        <v>530</v>
      </c>
      <c r="H97" s="6" t="s">
        <v>546</v>
      </c>
      <c r="I97" s="6" t="str">
        <f t="shared" si="11"/>
        <v>Fusion of heterogeneous incomplete hesitant preference relations in group decision making</v>
      </c>
      <c r="J97" s="6"/>
      <c r="K97" s="6" t="s">
        <v>325</v>
      </c>
      <c r="L97" s="6" t="str">
        <f t="shared" si="12"/>
        <v>International Journal of Computational Intelligence Systems</v>
      </c>
      <c r="M97" s="6" t="s">
        <v>326</v>
      </c>
      <c r="N97" s="8" t="s">
        <v>354</v>
      </c>
      <c r="O97" s="8" t="s">
        <v>181</v>
      </c>
      <c r="P97" s="8" t="s">
        <v>547</v>
      </c>
      <c r="Q97" s="6" t="s">
        <v>548</v>
      </c>
      <c r="R97" s="8" t="str" cm="1">
        <f t="array" ref="R97">_xlfn.LET(_xlpm.issn,TRIM(M97)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7" s="8" t="s">
        <v>39</v>
      </c>
      <c r="T97" s="8"/>
      <c r="U97" s="8" t="s">
        <v>39</v>
      </c>
      <c r="V97" s="8"/>
      <c r="W97" s="8"/>
      <c r="X97" s="8"/>
      <c r="Y97" s="8"/>
      <c r="Z97" s="6"/>
      <c r="AA97" s="6"/>
      <c r="AB97" s="6"/>
      <c r="AC97" s="6"/>
      <c r="AD97" s="6"/>
      <c r="AE97" s="6"/>
      <c r="AF97" s="6"/>
    </row>
    <row r="98" spans="1:32" ht="79.8" hidden="1" customHeight="1" x14ac:dyDescent="0.3">
      <c r="A98" s="15" t="s">
        <v>151</v>
      </c>
      <c r="B98" s="15" t="s">
        <v>33</v>
      </c>
      <c r="C98" s="15" t="s">
        <v>34</v>
      </c>
      <c r="D98" s="15" t="s">
        <v>34</v>
      </c>
      <c r="E98" s="15" t="s">
        <v>518</v>
      </c>
      <c r="F98" s="15" t="s">
        <v>518</v>
      </c>
      <c r="G98" s="16" t="s">
        <v>530</v>
      </c>
      <c r="H98" s="15" t="s">
        <v>549</v>
      </c>
      <c r="I98" s="6" t="str">
        <f t="shared" si="11"/>
        <v>Notes on "Logarithmic least squares method to priority for group decision making with incomplete fuzzy preference relations"</v>
      </c>
      <c r="J98" s="15"/>
      <c r="K98" s="15" t="s">
        <v>550</v>
      </c>
      <c r="L98" s="6" t="str">
        <f t="shared" si="12"/>
        <v>Applied Mathematical Modelling</v>
      </c>
      <c r="M98" s="15" t="s">
        <v>551</v>
      </c>
      <c r="N98" s="16" t="s">
        <v>552</v>
      </c>
      <c r="O98" s="16" t="s">
        <v>50</v>
      </c>
      <c r="P98" s="16" t="s">
        <v>553</v>
      </c>
      <c r="Q98" s="15" t="s">
        <v>554</v>
      </c>
      <c r="R98" s="8" t="str" cm="1">
        <f t="array" ref="R98">_xlfn.LET(_xlpm.issn,TRIM(M98)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8" s="16" t="s">
        <v>39</v>
      </c>
      <c r="T98" s="16"/>
      <c r="U98" s="16" t="s">
        <v>39</v>
      </c>
      <c r="V98" s="16"/>
      <c r="W98" s="16"/>
      <c r="X98" s="16"/>
      <c r="Y98" s="16"/>
      <c r="Z98" s="15"/>
      <c r="AA98" s="15"/>
      <c r="AB98" s="15"/>
      <c r="AC98" s="15"/>
      <c r="AD98" s="15"/>
      <c r="AE98" s="15"/>
      <c r="AF98" s="15"/>
    </row>
    <row r="99" spans="1:32" ht="79.8" hidden="1" customHeight="1" x14ac:dyDescent="0.3">
      <c r="A99" s="6" t="s">
        <v>151</v>
      </c>
      <c r="B99" s="6" t="s">
        <v>33</v>
      </c>
      <c r="C99" s="6" t="s">
        <v>34</v>
      </c>
      <c r="D99" s="6" t="s">
        <v>34</v>
      </c>
      <c r="E99" s="6" t="s">
        <v>518</v>
      </c>
      <c r="F99" s="6" t="s">
        <v>518</v>
      </c>
      <c r="G99" s="8" t="s">
        <v>530</v>
      </c>
      <c r="H99" s="6" t="s">
        <v>555</v>
      </c>
      <c r="I99" s="6" t="str">
        <f t="shared" si="11"/>
        <v>A VIKOR-based approach to group decision making with uncertain preference ordinals and incomplete weight information</v>
      </c>
      <c r="J99" s="6"/>
      <c r="K99" s="6" t="s">
        <v>556</v>
      </c>
      <c r="L99" s="6" t="str">
        <f t="shared" si="12"/>
        <v>Informatica</v>
      </c>
      <c r="M99" s="6" t="s">
        <v>557</v>
      </c>
      <c r="N99" s="8" t="s">
        <v>558</v>
      </c>
      <c r="O99" s="8" t="s">
        <v>50</v>
      </c>
      <c r="P99" s="8" t="s">
        <v>559</v>
      </c>
      <c r="Q99" s="6" t="s">
        <v>560</v>
      </c>
      <c r="R99" s="8" t="str" cm="1">
        <f t="array" ref="R99">_xlfn.LET(_xlpm.issn,TRIM(M99)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99" s="8" t="s">
        <v>39</v>
      </c>
      <c r="T99" s="8" t="s">
        <v>39</v>
      </c>
      <c r="U99" s="8" t="s">
        <v>39</v>
      </c>
      <c r="V99" s="8"/>
      <c r="W99" s="8"/>
      <c r="X99" s="8"/>
      <c r="Y99" s="8"/>
      <c r="Z99" s="6"/>
      <c r="AA99" s="6"/>
      <c r="AB99" s="6"/>
      <c r="AC99" s="6"/>
      <c r="AD99" s="6"/>
      <c r="AE99" s="6"/>
      <c r="AF99" s="6"/>
    </row>
    <row r="100" spans="1:32" ht="79.8" customHeight="1" x14ac:dyDescent="0.3">
      <c r="A100" s="15" t="s">
        <v>421</v>
      </c>
      <c r="B100" s="15" t="s">
        <v>33</v>
      </c>
      <c r="C100" s="15"/>
      <c r="D100" s="15"/>
      <c r="E100" s="15" t="s">
        <v>518</v>
      </c>
      <c r="F100" s="15" t="s">
        <v>518</v>
      </c>
      <c r="G100" s="16" t="s">
        <v>561</v>
      </c>
      <c r="H100" s="15" t="s">
        <v>562</v>
      </c>
      <c r="I100" s="6" t="str">
        <f t="shared" si="11"/>
        <v>New operations of hesitant fuzzy linguistic term sets with applications in multi-attribute group decision making</v>
      </c>
      <c r="J100" s="15"/>
      <c r="K100" s="15" t="s">
        <v>563</v>
      </c>
      <c r="L100" s="6" t="str">
        <f t="shared" si="12"/>
        <v>the 2015 IEEE International Conference on Fuzzy Systems (FUZZ-IEEE)</v>
      </c>
      <c r="M100" s="15"/>
      <c r="N100" s="16" t="s">
        <v>153</v>
      </c>
      <c r="O100" s="16" t="s">
        <v>153</v>
      </c>
      <c r="P100" s="16" t="s">
        <v>564</v>
      </c>
      <c r="Q100" s="15" t="s">
        <v>565</v>
      </c>
      <c r="R100" s="6" t="str" cm="1">
        <f t="array" ref="R100">_xlfn.LET(_xlpm.issn,TRIM(M100)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0" s="16"/>
      <c r="T100" s="16"/>
      <c r="U100" s="16" t="s">
        <v>39</v>
      </c>
      <c r="V100" s="16"/>
      <c r="W100" s="16" t="s">
        <v>39</v>
      </c>
      <c r="X100" s="16"/>
      <c r="Y100" s="16"/>
      <c r="Z100" s="15"/>
      <c r="AA100" s="15"/>
      <c r="AB100" s="15"/>
      <c r="AC100" s="15"/>
      <c r="AD100" s="15"/>
      <c r="AE100" s="15" t="s">
        <v>566</v>
      </c>
      <c r="AF100" s="15" t="s">
        <v>567</v>
      </c>
    </row>
    <row r="101" spans="1:32" ht="79.8" hidden="1" customHeight="1" x14ac:dyDescent="0.3">
      <c r="A101" s="6" t="s">
        <v>151</v>
      </c>
      <c r="B101" s="6" t="s">
        <v>33</v>
      </c>
      <c r="C101" s="6" t="s">
        <v>34</v>
      </c>
      <c r="D101" s="6" t="s">
        <v>34</v>
      </c>
      <c r="E101" s="6" t="s">
        <v>518</v>
      </c>
      <c r="F101" s="6" t="s">
        <v>518</v>
      </c>
      <c r="G101" s="8" t="s">
        <v>530</v>
      </c>
      <c r="H101" s="6" t="s">
        <v>568</v>
      </c>
      <c r="I101" s="6" t="str">
        <f t="shared" si="11"/>
        <v>Consistency and consensus models for group decision-making with uncertain 2-tuple linguistic preference relations</v>
      </c>
      <c r="J101" s="6"/>
      <c r="K101" s="6" t="s">
        <v>569</v>
      </c>
      <c r="L101" s="6" t="str">
        <f t="shared" si="12"/>
        <v>International Journal of Systems Science</v>
      </c>
      <c r="M101" s="6" t="s">
        <v>570</v>
      </c>
      <c r="N101" s="8" t="s">
        <v>526</v>
      </c>
      <c r="O101" s="8" t="s">
        <v>282</v>
      </c>
      <c r="P101" s="8" t="s">
        <v>571</v>
      </c>
      <c r="Q101" s="6" t="s">
        <v>572</v>
      </c>
      <c r="R101" s="8" t="str" cm="1">
        <f t="array" ref="R101">_xlfn.LET(_xlpm.issn,TRIM(M101)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1" s="8" t="s">
        <v>39</v>
      </c>
      <c r="T101" s="8" t="s">
        <v>39</v>
      </c>
      <c r="U101" s="8" t="s">
        <v>39</v>
      </c>
      <c r="V101" s="8"/>
      <c r="W101" s="8"/>
      <c r="X101" s="8"/>
      <c r="Y101" s="8">
        <v>2</v>
      </c>
      <c r="Z101" s="6"/>
      <c r="AA101" s="6"/>
      <c r="AB101" s="6"/>
      <c r="AC101" s="6"/>
      <c r="AD101" s="6"/>
      <c r="AE101" s="6"/>
      <c r="AF101" s="6"/>
    </row>
    <row r="102" spans="1:32" ht="79.8" hidden="1" customHeight="1" x14ac:dyDescent="0.3">
      <c r="A102" s="15" t="s">
        <v>151</v>
      </c>
      <c r="B102" s="15" t="s">
        <v>33</v>
      </c>
      <c r="C102" s="15" t="s">
        <v>335</v>
      </c>
      <c r="D102" s="15" t="s">
        <v>335</v>
      </c>
      <c r="E102" s="15" t="s">
        <v>573</v>
      </c>
      <c r="F102" s="15" t="s">
        <v>573</v>
      </c>
      <c r="G102" s="16" t="s">
        <v>574</v>
      </c>
      <c r="H102" s="15" t="s">
        <v>575</v>
      </c>
      <c r="I102" s="6" t="str">
        <f t="shared" si="11"/>
        <v>Evolutionary community structure discovery in dynamic weighted networks</v>
      </c>
      <c r="J102" s="15"/>
      <c r="K102" s="17" t="s">
        <v>576</v>
      </c>
      <c r="L102" s="6" t="str">
        <f t="shared" si="12"/>
        <v>Physica A: Statistical Mechanics and its Applications</v>
      </c>
      <c r="M102" s="17" t="s">
        <v>577</v>
      </c>
      <c r="N102" s="16" t="s">
        <v>578</v>
      </c>
      <c r="O102" s="16" t="s">
        <v>153</v>
      </c>
      <c r="P102" s="16" t="s">
        <v>579</v>
      </c>
      <c r="Q102" s="15" t="s">
        <v>580</v>
      </c>
      <c r="R102" s="8" t="str" cm="1">
        <f t="array" ref="R102">_xlfn.LET(_xlpm.issn,TRIM(M102)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2" s="16" t="s">
        <v>39</v>
      </c>
      <c r="T102" s="16"/>
      <c r="U102" s="16" t="s">
        <v>39</v>
      </c>
      <c r="V102" s="16"/>
      <c r="W102" s="16"/>
      <c r="X102" s="16"/>
      <c r="Y102" s="16"/>
      <c r="Z102" s="15"/>
      <c r="AA102" s="15"/>
      <c r="AB102" s="15"/>
      <c r="AC102" s="15"/>
      <c r="AD102" s="15"/>
      <c r="AE102" s="15"/>
      <c r="AF102" s="15"/>
    </row>
    <row r="103" spans="1:32" ht="79.8" hidden="1" customHeight="1" x14ac:dyDescent="0.3">
      <c r="A103" s="6" t="s">
        <v>151</v>
      </c>
      <c r="B103" s="6" t="s">
        <v>33</v>
      </c>
      <c r="C103" s="6" t="s">
        <v>335</v>
      </c>
      <c r="D103" s="6" t="s">
        <v>335</v>
      </c>
      <c r="E103" s="6" t="s">
        <v>518</v>
      </c>
      <c r="F103" s="6" t="s">
        <v>518</v>
      </c>
      <c r="G103" s="8" t="s">
        <v>574</v>
      </c>
      <c r="H103" s="6" t="s">
        <v>581</v>
      </c>
      <c r="I103" s="6" t="str">
        <f t="shared" si="11"/>
        <v>An approach to group decision making with heterogeneous incomplete uncertain preference relations</v>
      </c>
      <c r="J103" s="6"/>
      <c r="K103" s="6" t="s">
        <v>100</v>
      </c>
      <c r="L103" s="6" t="str">
        <f t="shared" si="12"/>
        <v>Computers &amp; Industrial Engineering</v>
      </c>
      <c r="M103" s="6" t="s">
        <v>101</v>
      </c>
      <c r="N103" s="8" t="s">
        <v>582</v>
      </c>
      <c r="O103" s="8" t="s">
        <v>153</v>
      </c>
      <c r="P103" s="8" t="s">
        <v>583</v>
      </c>
      <c r="Q103" s="6" t="s">
        <v>584</v>
      </c>
      <c r="R103" s="8" t="str" cm="1">
        <f t="array" ref="R103">_xlfn.LET(_xlpm.issn,TRIM(M103)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3" s="8" t="s">
        <v>39</v>
      </c>
      <c r="T103" s="8"/>
      <c r="U103" s="8" t="s">
        <v>39</v>
      </c>
      <c r="V103" s="8"/>
      <c r="W103" s="8"/>
      <c r="X103" s="8" t="s">
        <v>40</v>
      </c>
      <c r="Y103" s="8" t="s">
        <v>181</v>
      </c>
      <c r="Z103" s="6"/>
      <c r="AA103" s="6"/>
      <c r="AB103" s="6"/>
      <c r="AC103" s="6"/>
      <c r="AD103" s="6"/>
      <c r="AE103" s="6"/>
      <c r="AF103" s="6"/>
    </row>
    <row r="104" spans="1:32" ht="79.8" hidden="1" customHeight="1" x14ac:dyDescent="0.3">
      <c r="A104" s="15" t="s">
        <v>151</v>
      </c>
      <c r="B104" s="15" t="s">
        <v>33</v>
      </c>
      <c r="C104" s="15" t="s">
        <v>335</v>
      </c>
      <c r="D104" s="15" t="s">
        <v>335</v>
      </c>
      <c r="E104" s="15" t="s">
        <v>518</v>
      </c>
      <c r="F104" s="15" t="s">
        <v>518</v>
      </c>
      <c r="G104" s="16" t="s">
        <v>574</v>
      </c>
      <c r="H104" s="15" t="s">
        <v>585</v>
      </c>
      <c r="I104" s="6" t="str">
        <f t="shared" si="11"/>
        <v>Consistency-based algorithms to estimate missing elements for uncertain 2-tuple linguistic preference relations</v>
      </c>
      <c r="J104" s="15"/>
      <c r="K104" s="15" t="s">
        <v>325</v>
      </c>
      <c r="L104" s="6" t="str">
        <f t="shared" si="12"/>
        <v>International Journal of Computational Intelligence Systems</v>
      </c>
      <c r="M104" s="15" t="s">
        <v>326</v>
      </c>
      <c r="N104" s="16" t="s">
        <v>586</v>
      </c>
      <c r="O104" s="16" t="s">
        <v>587</v>
      </c>
      <c r="P104" s="16" t="s">
        <v>588</v>
      </c>
      <c r="Q104" s="15" t="s">
        <v>589</v>
      </c>
      <c r="R104" s="8" t="str" cm="1">
        <f t="array" ref="R104">_xlfn.LET(_xlpm.issn,TRIM(M104)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4" s="16" t="s">
        <v>39</v>
      </c>
      <c r="T104" s="16"/>
      <c r="U104" s="16" t="s">
        <v>39</v>
      </c>
      <c r="V104" s="16"/>
      <c r="W104" s="16"/>
      <c r="X104" s="16"/>
      <c r="Y104" s="16"/>
      <c r="Z104" s="15"/>
      <c r="AA104" s="15"/>
      <c r="AB104" s="15"/>
      <c r="AC104" s="15"/>
      <c r="AD104" s="15"/>
      <c r="AE104" s="15"/>
      <c r="AF104" s="15"/>
    </row>
    <row r="105" spans="1:32" ht="79.8" customHeight="1" x14ac:dyDescent="0.3">
      <c r="A105" s="6" t="s">
        <v>421</v>
      </c>
      <c r="B105" s="6" t="s">
        <v>33</v>
      </c>
      <c r="C105" s="6"/>
      <c r="D105" s="6"/>
      <c r="E105" s="6" t="s">
        <v>590</v>
      </c>
      <c r="F105" s="6" t="s">
        <v>590</v>
      </c>
      <c r="G105" s="8" t="s">
        <v>591</v>
      </c>
      <c r="H105" s="6" t="s">
        <v>592</v>
      </c>
      <c r="I105" s="6" t="str">
        <f t="shared" si="11"/>
        <v>A fuzzy tri-level decision making algorithm and its application in supply chain</v>
      </c>
      <c r="J105" s="6"/>
      <c r="K105" s="6" t="s">
        <v>593</v>
      </c>
      <c r="L105" s="6" t="str">
        <f t="shared" si="12"/>
        <v>the 8th conference of the Euro-pean Society for Fuzzy Logic and Technology (EUSFLAT 2013)</v>
      </c>
      <c r="M105" s="6"/>
      <c r="N105" s="8" t="s">
        <v>153</v>
      </c>
      <c r="O105" s="8" t="s">
        <v>153</v>
      </c>
      <c r="P105" s="8" t="s">
        <v>594</v>
      </c>
      <c r="Q105" s="6" t="s">
        <v>595</v>
      </c>
      <c r="R105" s="6" t="str" cm="1">
        <f t="array" ref="R105">_xlfn.LET(_xlpm.issn,TRIM(M105)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5" s="8"/>
      <c r="T105" s="8"/>
      <c r="U105" s="8" t="s">
        <v>39</v>
      </c>
      <c r="V105" s="8"/>
      <c r="W105" s="8" t="s">
        <v>39</v>
      </c>
      <c r="X105" s="8"/>
      <c r="Y105" s="8"/>
      <c r="Z105" s="6"/>
      <c r="AA105" s="6"/>
      <c r="AB105" s="6"/>
      <c r="AC105" s="6"/>
      <c r="AD105" s="6"/>
      <c r="AE105" s="6" t="s">
        <v>596</v>
      </c>
      <c r="AF105" s="6" t="s">
        <v>597</v>
      </c>
    </row>
    <row r="106" spans="1:32" ht="79.8" hidden="1" customHeight="1" x14ac:dyDescent="0.3">
      <c r="A106" s="15" t="s">
        <v>151</v>
      </c>
      <c r="B106" s="15" t="s">
        <v>116</v>
      </c>
      <c r="C106" s="15" t="s">
        <v>598</v>
      </c>
      <c r="D106" s="15" t="s">
        <v>335</v>
      </c>
      <c r="E106" s="15" t="s">
        <v>599</v>
      </c>
      <c r="F106" s="15" t="s">
        <v>518</v>
      </c>
      <c r="G106" s="16" t="s">
        <v>600</v>
      </c>
      <c r="H106" s="15" t="s">
        <v>601</v>
      </c>
      <c r="I106" s="15" t="s">
        <v>602</v>
      </c>
      <c r="J106" s="15"/>
      <c r="K106" s="15" t="s">
        <v>603</v>
      </c>
      <c r="L106" s="15" t="s">
        <v>604</v>
      </c>
      <c r="M106" s="15"/>
      <c r="N106" s="16" t="s">
        <v>353</v>
      </c>
      <c r="O106" s="16" t="s">
        <v>272</v>
      </c>
      <c r="P106" s="16" t="s">
        <v>605</v>
      </c>
      <c r="Q106" s="15" t="s">
        <v>606</v>
      </c>
      <c r="R106" s="15"/>
      <c r="S106" s="16"/>
      <c r="T106" s="16"/>
      <c r="U106" s="16" t="s">
        <v>39</v>
      </c>
      <c r="V106" s="16"/>
      <c r="W106" s="16"/>
      <c r="X106" s="16"/>
      <c r="Y106" s="16"/>
      <c r="Z106" s="15"/>
      <c r="AA106" s="15"/>
      <c r="AB106" s="15"/>
      <c r="AC106" s="15"/>
      <c r="AD106" s="15"/>
      <c r="AE106" s="15"/>
      <c r="AF106" s="15"/>
    </row>
    <row r="107" spans="1:32" ht="79.8" hidden="1" customHeight="1" x14ac:dyDescent="0.3">
      <c r="A107" s="6" t="s">
        <v>151</v>
      </c>
      <c r="B107" s="6" t="s">
        <v>33</v>
      </c>
      <c r="C107" s="6" t="s">
        <v>607</v>
      </c>
      <c r="D107" s="6" t="s">
        <v>608</v>
      </c>
      <c r="E107" s="6" t="s">
        <v>518</v>
      </c>
      <c r="F107" s="6" t="s">
        <v>518</v>
      </c>
      <c r="G107" s="8" t="s">
        <v>600</v>
      </c>
      <c r="H107" s="6" t="s">
        <v>609</v>
      </c>
      <c r="I107" s="6" t="str">
        <f t="shared" ref="I107:I108" si="13">IF(B107="英文",H107,"")</f>
        <v>A method for multi-granularity uncertain linguistic group decision making with incomplete weight information</v>
      </c>
      <c r="J107" s="6"/>
      <c r="K107" s="6" t="s">
        <v>430</v>
      </c>
      <c r="L107" s="6" t="str">
        <f>IF(B107="英文",K107,"")</f>
        <v>Knowledge-Based Systems</v>
      </c>
      <c r="M107" s="6" t="s">
        <v>431</v>
      </c>
      <c r="N107" s="8" t="s">
        <v>610</v>
      </c>
      <c r="O107" s="8" t="s">
        <v>153</v>
      </c>
      <c r="P107" s="8" t="s">
        <v>611</v>
      </c>
      <c r="Q107" s="6" t="s">
        <v>612</v>
      </c>
      <c r="R107" s="8" t="str" cm="1">
        <f t="array" ref="R107">_xlfn.LET(_xlpm.issn,TRIM(M107)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07" s="8" t="s">
        <v>39</v>
      </c>
      <c r="T107" s="8"/>
      <c r="U107" s="8" t="s">
        <v>39</v>
      </c>
      <c r="V107" s="8"/>
      <c r="W107" s="8"/>
      <c r="X107" s="8"/>
      <c r="Y107" s="8"/>
      <c r="Z107" s="6"/>
      <c r="AA107" s="6"/>
      <c r="AB107" s="6"/>
      <c r="AC107" s="6"/>
      <c r="AD107" s="6"/>
      <c r="AE107" s="6"/>
      <c r="AF107" s="6"/>
    </row>
    <row r="108" spans="1:32" ht="79.8" customHeight="1" x14ac:dyDescent="0.3">
      <c r="A108" s="15" t="s">
        <v>421</v>
      </c>
      <c r="B108" s="15" t="s">
        <v>33</v>
      </c>
      <c r="C108" s="15" t="s">
        <v>613</v>
      </c>
      <c r="D108" s="15" t="s">
        <v>614</v>
      </c>
      <c r="E108" s="15" t="s">
        <v>615</v>
      </c>
      <c r="F108" s="15" t="s">
        <v>615</v>
      </c>
      <c r="G108" s="16" t="s">
        <v>616</v>
      </c>
      <c r="H108" s="15" t="s">
        <v>617</v>
      </c>
      <c r="I108" s="6" t="str">
        <f t="shared" si="13"/>
        <v>A hybrid multiple attributes two-sided matching decision making method with incomplete weight information</v>
      </c>
      <c r="J108" s="15"/>
      <c r="K108" s="15" t="s">
        <v>618</v>
      </c>
      <c r="L108" s="6" t="str">
        <f>IF(B108="英文",K108,"")</f>
        <v xml:space="preserve"> the 11th International Workshop on Meta-synthesis and Complex Systems (MCS 2011)</v>
      </c>
      <c r="M108" s="15"/>
      <c r="N108" s="16" t="s">
        <v>619</v>
      </c>
      <c r="O108" s="16" t="s">
        <v>153</v>
      </c>
      <c r="P108" s="16" t="s">
        <v>620</v>
      </c>
      <c r="Q108" s="15" t="s">
        <v>621</v>
      </c>
      <c r="R108" s="15"/>
      <c r="S108" s="16"/>
      <c r="T108" s="16"/>
      <c r="U108" s="16" t="s">
        <v>39</v>
      </c>
      <c r="V108" s="16"/>
      <c r="W108" s="16"/>
      <c r="X108" s="16"/>
      <c r="Y108" s="16"/>
      <c r="Z108" s="15"/>
      <c r="AA108" s="15"/>
      <c r="AB108" s="15"/>
      <c r="AC108" s="15"/>
      <c r="AD108" s="15"/>
      <c r="AE108" s="15" t="s">
        <v>622</v>
      </c>
      <c r="AF108" s="15" t="s">
        <v>623</v>
      </c>
    </row>
    <row r="109" spans="1:32" ht="79.8" hidden="1" customHeight="1" x14ac:dyDescent="0.3">
      <c r="A109" s="6" t="s">
        <v>151</v>
      </c>
      <c r="B109" s="6" t="s">
        <v>116</v>
      </c>
      <c r="C109" s="6"/>
      <c r="D109" s="6"/>
      <c r="E109" s="6" t="s">
        <v>624</v>
      </c>
      <c r="F109" s="6" t="s">
        <v>625</v>
      </c>
      <c r="G109" s="8" t="s">
        <v>616</v>
      </c>
      <c r="H109" s="6" t="s">
        <v>626</v>
      </c>
      <c r="I109" s="6" t="s">
        <v>627</v>
      </c>
      <c r="J109" s="6"/>
      <c r="K109" s="6" t="s">
        <v>628</v>
      </c>
      <c r="L109" s="6" t="s">
        <v>629</v>
      </c>
      <c r="M109" s="6"/>
      <c r="N109" s="8" t="s">
        <v>389</v>
      </c>
      <c r="O109" s="8" t="s">
        <v>46</v>
      </c>
      <c r="P109" s="8" t="s">
        <v>630</v>
      </c>
      <c r="Q109" s="6" t="s">
        <v>631</v>
      </c>
      <c r="R109" s="6"/>
      <c r="S109" s="8"/>
      <c r="T109" s="8"/>
      <c r="U109" s="8"/>
      <c r="V109" s="8" t="s">
        <v>39</v>
      </c>
      <c r="W109" s="8"/>
      <c r="X109" s="8" t="s">
        <v>124</v>
      </c>
      <c r="Y109" s="8"/>
      <c r="Z109" s="6"/>
      <c r="AA109" s="6"/>
      <c r="AB109" s="6"/>
      <c r="AC109" s="6"/>
      <c r="AD109" s="6"/>
      <c r="AE109" s="6"/>
      <c r="AF109" s="6"/>
    </row>
    <row r="110" spans="1:32" ht="79.8" hidden="1" customHeight="1" x14ac:dyDescent="0.3">
      <c r="A110" s="15" t="s">
        <v>151</v>
      </c>
      <c r="B110" s="15" t="s">
        <v>33</v>
      </c>
      <c r="C110" s="15"/>
      <c r="D110" s="15"/>
      <c r="E110" s="15" t="s">
        <v>518</v>
      </c>
      <c r="F110" s="15" t="s">
        <v>518</v>
      </c>
      <c r="G110" s="16" t="s">
        <v>616</v>
      </c>
      <c r="H110" s="15" t="s">
        <v>632</v>
      </c>
      <c r="I110" s="6" t="str">
        <f>IF(B110="英文",H110,"")</f>
        <v>Association rules evaluation by a hybrid multiple criteria decision method</v>
      </c>
      <c r="J110" s="15"/>
      <c r="K110" s="15" t="s">
        <v>633</v>
      </c>
      <c r="L110" s="6" t="str">
        <f>IF(B110="英文",K110,"")</f>
        <v>International Journal of Knowledge and Systems Science</v>
      </c>
      <c r="M110" s="15" t="s">
        <v>634</v>
      </c>
      <c r="N110" s="16" t="s">
        <v>181</v>
      </c>
      <c r="O110" s="16" t="s">
        <v>50</v>
      </c>
      <c r="P110" s="16" t="s">
        <v>635</v>
      </c>
      <c r="Q110" s="15" t="s">
        <v>636</v>
      </c>
      <c r="R110" s="8" t="str" cm="1">
        <f t="array" ref="R110">_xlfn.LET(_xlpm.issn,TRIM(M110)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  <c r="S110" s="16"/>
      <c r="T110" s="16"/>
      <c r="U110" s="16"/>
      <c r="V110" s="16"/>
      <c r="W110" s="16"/>
      <c r="X110" s="16"/>
      <c r="Y110" s="16"/>
      <c r="Z110" s="15"/>
      <c r="AA110" s="15"/>
      <c r="AB110" s="15"/>
      <c r="AC110" s="15"/>
      <c r="AD110" s="15"/>
      <c r="AE110" s="15"/>
      <c r="AF110" s="15"/>
    </row>
    <row r="111" spans="1:32" ht="79.8" hidden="1" customHeight="1" x14ac:dyDescent="0.3">
      <c r="A111" s="6" t="s">
        <v>151</v>
      </c>
      <c r="B111" s="6" t="s">
        <v>116</v>
      </c>
      <c r="C111" s="6" t="s">
        <v>598</v>
      </c>
      <c r="D111" s="6" t="s">
        <v>335</v>
      </c>
      <c r="E111" s="6" t="s">
        <v>637</v>
      </c>
      <c r="F111" s="6" t="s">
        <v>638</v>
      </c>
      <c r="G111" s="8" t="s">
        <v>616</v>
      </c>
      <c r="H111" s="6" t="s">
        <v>639</v>
      </c>
      <c r="I111" s="6" t="s">
        <v>640</v>
      </c>
      <c r="J111" s="6"/>
      <c r="K111" s="6" t="s">
        <v>641</v>
      </c>
      <c r="L111" s="6" t="s">
        <v>642</v>
      </c>
      <c r="M111" s="6"/>
      <c r="N111" s="8" t="s">
        <v>643</v>
      </c>
      <c r="O111" s="8" t="s">
        <v>181</v>
      </c>
      <c r="P111" s="8" t="s">
        <v>644</v>
      </c>
      <c r="Q111" s="6" t="s">
        <v>645</v>
      </c>
      <c r="R111" s="6"/>
      <c r="S111" s="8"/>
      <c r="T111" s="8"/>
      <c r="U111" s="8"/>
      <c r="V111" s="8" t="s">
        <v>39</v>
      </c>
      <c r="W111" s="8"/>
      <c r="X111" s="8"/>
      <c r="Y111" s="8"/>
      <c r="Z111" s="6"/>
      <c r="AA111" s="6"/>
      <c r="AB111" s="6"/>
      <c r="AC111" s="6"/>
      <c r="AD111" s="6"/>
      <c r="AE111" s="6"/>
      <c r="AF111" s="6"/>
    </row>
    <row r="112" spans="1:32" ht="79.8" hidden="1" customHeight="1" x14ac:dyDescent="0.3">
      <c r="A112" s="15" t="s">
        <v>151</v>
      </c>
      <c r="B112" s="15" t="s">
        <v>116</v>
      </c>
      <c r="C112" s="15" t="s">
        <v>598</v>
      </c>
      <c r="D112" s="15" t="s">
        <v>335</v>
      </c>
      <c r="E112" s="15" t="s">
        <v>646</v>
      </c>
      <c r="F112" s="15" t="s">
        <v>518</v>
      </c>
      <c r="G112" s="16" t="s">
        <v>616</v>
      </c>
      <c r="H112" s="15" t="s">
        <v>647</v>
      </c>
      <c r="I112" s="15" t="s">
        <v>648</v>
      </c>
      <c r="J112" s="15"/>
      <c r="K112" s="15" t="s">
        <v>649</v>
      </c>
      <c r="L112" s="15" t="s">
        <v>650</v>
      </c>
      <c r="M112" s="15"/>
      <c r="N112" s="16" t="s">
        <v>610</v>
      </c>
      <c r="O112" s="16" t="s">
        <v>521</v>
      </c>
      <c r="P112" s="16" t="s">
        <v>651</v>
      </c>
      <c r="Q112" s="15" t="s">
        <v>652</v>
      </c>
      <c r="R112" s="15"/>
      <c r="S112" s="16"/>
      <c r="T112" s="16"/>
      <c r="U112" s="16" t="s">
        <v>39</v>
      </c>
      <c r="V112" s="16"/>
      <c r="W112" s="16"/>
      <c r="X112" s="16"/>
      <c r="Y112" s="16"/>
      <c r="Z112" s="15"/>
      <c r="AA112" s="15"/>
      <c r="AB112" s="15"/>
      <c r="AC112" s="15"/>
      <c r="AD112" s="15"/>
      <c r="AE112" s="15"/>
      <c r="AF112" s="15"/>
    </row>
    <row r="113" spans="1:32" ht="79.8" customHeight="1" x14ac:dyDescent="0.3">
      <c r="A113" s="6" t="s">
        <v>421</v>
      </c>
      <c r="B113" s="6" t="s">
        <v>33</v>
      </c>
      <c r="C113" s="6" t="s">
        <v>335</v>
      </c>
      <c r="D113" s="6" t="s">
        <v>335</v>
      </c>
      <c r="E113" s="6" t="s">
        <v>518</v>
      </c>
      <c r="F113" s="6" t="s">
        <v>518</v>
      </c>
      <c r="G113" s="8" t="s">
        <v>653</v>
      </c>
      <c r="H113" s="6" t="s">
        <v>654</v>
      </c>
      <c r="I113" s="6" t="str">
        <f>IF(B113="英文",H113,"")</f>
        <v>Ranking Association Rules by TOPSIS Method with Combination Weights</v>
      </c>
      <c r="J113" s="6"/>
      <c r="K113" s="6" t="s">
        <v>655</v>
      </c>
      <c r="L113" s="6" t="str">
        <f>IF(B113="英文",K113,"")</f>
        <v>the 10th International Symposium on Knowledge and Systems Sciences (KSS 2009)</v>
      </c>
      <c r="M113" s="6"/>
      <c r="N113" s="8" t="s">
        <v>153</v>
      </c>
      <c r="O113" s="8" t="s">
        <v>153</v>
      </c>
      <c r="P113" s="8"/>
      <c r="Q113" s="6"/>
      <c r="R113" s="6"/>
      <c r="S113" s="8"/>
      <c r="T113" s="8"/>
      <c r="U113" s="8"/>
      <c r="V113" s="8"/>
      <c r="W113" s="8"/>
      <c r="X113" s="8"/>
      <c r="Y113" s="8"/>
      <c r="Z113" s="6"/>
      <c r="AA113" s="6"/>
      <c r="AB113" s="6"/>
      <c r="AC113" s="6"/>
      <c r="AD113" s="6"/>
      <c r="AE113" s="6" t="s">
        <v>656</v>
      </c>
      <c r="AF113" s="6" t="s">
        <v>657</v>
      </c>
    </row>
    <row r="114" spans="1:32" ht="79.8" hidden="1" customHeight="1" x14ac:dyDescent="0.3">
      <c r="R114" s="8" t="str" cm="1">
        <f t="array" ref="R114">_xlfn.LET(_xlpm.issn,TRIM(M114)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</row>
    <row r="115" spans="1:32" ht="79.8" hidden="1" customHeight="1" x14ac:dyDescent="0.3">
      <c r="R115" s="8" t="str" cm="1">
        <f t="array" ref="R115">_xlfn.LET(_xlpm.issn,TRIM(M115),_xlpm.jcr_issn,[1]Category_Quartiles!$C$2:$C$33000,_xlpm.jcr_eissn,[1]Category_Quartiles!$D$2:$D$33000,_xlpm.jif,[1]Category_Quartiles!$P$2:$P$33000,IFERROR(_xlfn.XLOOKUP(TRUE,((_xlpm.issn&lt;&gt;"")*((_xlpm.issn=_xlpm.jcr_issn)+(_xlpm.issn=_xlpm.jcr_eissn)))&gt;0,_xlpm.jif,""),""))</f>
        <v/>
      </c>
    </row>
  </sheetData>
  <autoFilter ref="A1:AF115" xr:uid="{00000000-0009-0000-0000-000000000000}">
    <filterColumn colId="0">
      <filters>
        <filter val="会议"/>
      </filters>
    </filterColumn>
  </autoFilter>
  <phoneticPr fontId="9" type="noConversion"/>
  <conditionalFormatting sqref="R114:R115 A2:AF113">
    <cfRule type="expression" dxfId="4" priority="43">
      <formula>MOD(ROW(),2)=1</formula>
    </cfRule>
  </conditionalFormatting>
  <conditionalFormatting sqref="A2:AF151">
    <cfRule type="expression" dxfId="3" priority="42">
      <formula>MOD(ROW(),2)=1</formula>
    </cfRule>
  </conditionalFormatting>
  <conditionalFormatting sqref="R114:R115 A3:AF113">
    <cfRule type="expression" dxfId="2" priority="18">
      <formula>MOD(ROW(),2)=1</formula>
    </cfRule>
  </conditionalFormatting>
  <conditionalFormatting sqref="A3:AF153">
    <cfRule type="expression" dxfId="1" priority="1">
      <formula>IF(EVEN(A3),TRUE,IF(A3="白色",TRUE,FALSE))</formula>
    </cfRule>
    <cfRule type="expression" dxfId="0" priority="17">
      <formula>MOD(ROW(),2)=0</formula>
    </cfRule>
  </conditionalFormatting>
  <hyperlinks>
    <hyperlink ref="Q34" r:id="rId1" xr:uid="{00000000-0004-0000-0000-000000000000}"/>
    <hyperlink ref="Q81" r:id="rId2" xr:uid="{00000000-0004-0000-0000-000001000000}"/>
    <hyperlink ref="Q87" r:id="rId3" xr:uid="{00000000-0004-0000-0000-000002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Zhang</dc:creator>
  <cp:lastModifiedBy>Zhen Zhang</cp:lastModifiedBy>
  <dcterms:created xsi:type="dcterms:W3CDTF">2026-03-23T12:14:00Z</dcterms:created>
  <dcterms:modified xsi:type="dcterms:W3CDTF">2026-08-26T11:43:14Z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A50012A6DEA746C1BD4F472457F1022A_12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